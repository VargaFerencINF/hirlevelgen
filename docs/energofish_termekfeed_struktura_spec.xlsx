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xml_szerkezet" sheetId="2" state="visible" r:id="rId4"/>
    <sheet name="cel_adatmodell" sheetId="3" state="visible" r:id="rId5"/>
    <sheet name="validacio" sheetId="4" state="visible" r:id="rId6"/>
    <sheet name="kodlistak" sheetId="5" state="visible" r:id="rId7"/>
    <sheet name="kategoriak" sheetId="6" state="visible" r:id="rId8"/>
    <sheet name="parameterek" sheetId="7" state="visible" r:id="rId9"/>
    <sheet name="xml_minta" sheetId="8" state="visible" r:id="rId10"/>
    <sheet name="minta_termek" sheetId="9" state="visible" r:id="rId11"/>
    <sheet name="minta_kep" sheetId="10" state="visible" r:id="rId12"/>
    <sheet name="minta_parameter" sheetId="11" state="visible" r:id="rId13"/>
    <sheet name="minta_jellemzo" sheetId="12" state="visible" r:id="rId14"/>
  </sheets>
  <definedNames>
    <definedName function="false" hidden="true" localSheetId="2" name="_xlnm._FilterDatabase" vbProcedure="false">cel_adatmodell!$A$1:$J$65</definedName>
    <definedName function="false" hidden="true" localSheetId="5" name="_xlnm._FilterDatabase" vbProcedure="false">kategoriak!$A$1:$E$207</definedName>
    <definedName function="false" hidden="true" localSheetId="4" name="_xlnm._FilterDatabase" vbProcedure="false">kodlistak!$A$1:$F$68</definedName>
    <definedName function="false" hidden="true" localSheetId="11" name="_xlnm._FilterDatabase" vbProcedure="false">minta_jellemzo!$A$1:$D$6</definedName>
    <definedName function="false" hidden="true" localSheetId="9" name="_xlnm._FilterDatabase" vbProcedure="false">minta_kep!$A$1:$G$95</definedName>
    <definedName function="false" hidden="true" localSheetId="10" name="_xlnm._FilterDatabase" vbProcedure="false">minta_parameter!$A$1:$E$43</definedName>
    <definedName function="false" hidden="true" localSheetId="8" name="_xlnm._FilterDatabase" vbProcedure="false">minta_termek!$A$1:$AN$11</definedName>
    <definedName function="false" hidden="true" localSheetId="6" name="_xlnm._FilterDatabase" vbProcedure="false">parameterek!$A$1:$J$38</definedName>
    <definedName function="false" hidden="true" localSheetId="3" name="_xlnm._FilterDatabase" vbProcedure="false">validacio!$A$1:$H$37</definedName>
    <definedName function="false" hidden="true" localSheetId="7" name="_xlnm._FilterDatabase" vbProcedure="false">xml_minta!$A$1:$D$121</definedName>
    <definedName function="false" hidden="true" localSheetId="1" name="_xlnm._FilterDatabase" vbProcedure="false">xml_szerkezet!$A$1:$AB$52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<sst xmlns="http://schemas.openxmlformats.org/spreadsheetml/2006/main" count="3592" uniqueCount="1405">
  <si>
    <t xml:space="preserve">kulcs</t>
  </si>
  <si>
    <t xml:space="preserve">ertek</t>
  </si>
  <si>
    <t xml:space="preserve">dokumentum_cel</t>
  </si>
  <si>
    <t xml:space="preserve">Az Energofish nagyker termékfeed (termekadatok_hu.xml) pontos szerkezeti specifikációja feldolgozó kód (pl. Claude Code) számára: mi hol van az XML-ben, hogyan kell értelmezni, mivé kell alakítani, és hogyan kell ellenőrizni.</t>
  </si>
  <si>
    <t xml:space="preserve">forras_url</t>
  </si>
  <si>
    <t xml:space="preserve">https://energofish.hu/listak/feeds/wholesale/termekadatok_hu.xml</t>
  </si>
  <si>
    <t xml:space="preserve">elemzett_allapot</t>
  </si>
  <si>
    <t xml:space="preserve">2026-10-02-i letöltés; minden darabszám és statisztika erre a teljes fájlra vonatkozik</t>
  </si>
  <si>
    <t xml:space="preserve">fajlmeret_bajt</t>
  </si>
  <si>
    <t xml:space="preserve">kodolas</t>
  </si>
  <si>
    <t xml:space="preserve">UTF-8, deklaráció: &lt;?xml version="1.0" encoding="utf-8"?&gt;</t>
  </si>
  <si>
    <t xml:space="preserve">gyokerelem</t>
  </si>
  <si>
    <t xml:space="preserve">/xml   (az elem neve szó szerint "xml")</t>
  </si>
  <si>
    <t xml:space="preserve">rekord_elem</t>
  </si>
  <si>
    <t xml:space="preserve">/xml/Termek – egy rekord = egy cikk (variáns)</t>
  </si>
  <si>
    <t xml:space="preserve">termek_db</t>
  </si>
  <si>
    <t xml:space="preserve">fotermek_db</t>
  </si>
  <si>
    <t xml:space="preserve">rekord_kulcs</t>
  </si>
  <si>
    <t xml:space="preserve">Cikkszam (egyedi, nincs duplikátum). Szövegként kezelendő: betűt, "/" és "_" jelet is tartalmazhat (pl. MA4011/0, SBSLAS_G).</t>
  </si>
  <si>
    <t xml:space="preserve">sema_stabilitas</t>
  </si>
  <si>
    <t xml:space="preserve">Mind a 12 433 Termek pontosan ugyanazt a 37 gyerekelemet tartalmazza, azonos sorrendben. Skalár elem soha nem hiányzik, legfeljebb üres. Csak a Kep, Parameter és Jellemzo ismétlődő elemek száma változik.</t>
  </si>
  <si>
    <t xml:space="preserve">ures_ertek_formak</t>
  </si>
  <si>
    <t xml:space="preserve">&lt;X&gt;&lt;/X&gt;  vagy  &lt;X&gt;&lt;![CDATA[]]&gt;&lt;/X&gt;  (önlezáró tag nincs). Video üresen: &lt;Video title=""&gt;&lt;/Video&gt;. Feldolgozáskor: strip után üres string → NULL.</t>
  </si>
  <si>
    <t xml:space="preserve">cdata_mezok</t>
  </si>
  <si>
    <t xml:space="preserve">Termeknev, Fotermek, Kategoria, Alkategoria, Marka_gyarto, Termekleiras, Parameter, Jellemzo, Video (csak ha kitöltött). A többi elem sima szöveg.</t>
  </si>
  <si>
    <t xml:space="preserve">xml_entitasok</t>
  </si>
  <si>
    <t xml:space="preserve">A nem-CDATA szövegekben (pl. URL-ek) entitások lehetnek (&amp;amp;). Szabványos XML parsert kell használni, regexes/szöveges feldolgozás nem megbízható.</t>
  </si>
  <si>
    <t xml:space="preserve">whitespace_szabaly</t>
  </si>
  <si>
    <t xml:space="preserve">Minden szöveges értéket strip-elni kell, a nem törő szóközt (U+00A0) is beleértve (pl. "Feeder " alkategória, NBSP egy vonalkód elején). 1 011 termék érintett.</t>
  </si>
  <si>
    <t xml:space="preserve">szam_formatum</t>
  </si>
  <si>
    <t xml:space="preserve">Egész számok ezres elválasztó nélkül. Tizedes: pont, mindig 4 tizedes (KartonSuly, KartonTerfogat). Árak egész Ft.</t>
  </si>
  <si>
    <t xml:space="preserve">datum_formatum</t>
  </si>
  <si>
    <t xml:space="preserve">Letrehozas_datuma: "YYYY-MM-DD HH:MM:SS" (helyi idő, időzóna nincs megadva). "0000-00-00 00:00:00" → NULL.</t>
  </si>
  <si>
    <t xml:space="preserve">penznem_es_afa</t>
  </si>
  <si>
    <t xml:space="preserve">Minden ár HUF. Nagyker_* = nettó, Kisker_* = bruttó (27% ÁFA). Akciós ár 0 = nincs akció.</t>
  </si>
  <si>
    <t xml:space="preserve">feldolgozasi_javaslat</t>
  </si>
  <si>
    <t xml:space="preserve">Streaming parser (xml.etree.ElementTree.iterparse vagy lxml.etree.iterparse) a Termek "end" eseményén, utána elem.clear(). A teljes fájl memóriába töltése is működik (~48 MB), de felesleges.</t>
  </si>
  <si>
    <t xml:space="preserve">kimeneti_modell</t>
  </si>
  <si>
    <t xml:space="preserve">4 fő tábla: termek, termek_kep, termek_parameter, termek_jellemzo (kulcs: cikkszam) + 3 opcionális származtatott dimenzió: fotermek, kategoria, alkategoria. Részletek: cel_adatmodell.</t>
  </si>
  <si>
    <t xml:space="preserve">ures_gyerekelem_szabaly</t>
  </si>
  <si>
    <t xml:space="preserve">Üres értékű Kep / Parameter / Jellemzo elemből NEM keletkezik sor a gyerektáblákban. A teljes feedre ez 68 166 kép-, 54 597 paraméter- és 2 668 jellemzősort jelent.</t>
  </si>
  <si>
    <t xml:space="preserve">statusz_ertekek</t>
  </si>
  <si>
    <t xml:space="preserve">A "statusz" oszlopok jelentése: megerositett = a teljes adatból igazolt; feltetelezes = valószínű, de az adatgazdától ellenőrizendő; ismeretlen = az adatból nem derül ki.</t>
  </si>
  <si>
    <t xml:space="preserve">nyitott_kerdesek</t>
  </si>
  <si>
    <t xml:space="preserve">1) Keszleten=2 jelentése. 2) Katalogus_info K / N jelentése. 3) KartonSuly és KartonTerfogat mértékegysége (feltételezés: kg, m³). 4) Min_mennyiseg_*: minimum vagy rendelési többszörös? 5) Alacsony_keszlet küszöbe.</t>
  </si>
  <si>
    <t xml:space="preserve">minta_lapok</t>
  </si>
  <si>
    <t xml:space="preserve">A minta_* lapok a cel_adatmodell szerinti, a fenti szabályokkal előállított elvárt kimenetet mutatják – a feldolgozó kód tesztjéhez (fixture). Az első 10 rekord: 10000-327 … 10671-299.</t>
  </si>
  <si>
    <t xml:space="preserve">lap: xml_szerkezet</t>
  </si>
  <si>
    <t xml:space="preserve">Az XML minden csomópontja (elem és attribútum) egy sorban: XPath, szülő, sorrend, kardinalitás, CDATA, típus, regex, üres érték jelentése, statisztika, cél tábla/oszlop.</t>
  </si>
  <si>
    <t xml:space="preserve">lap: cel_adatmodell</t>
  </si>
  <si>
    <t xml:space="preserve">A javasolt kimeneti (relációs) modell: táblák, oszlopok, típusok, kulcsok, forrás XPath és pontos transzformációs szabály oszloponként.</t>
  </si>
  <si>
    <t xml:space="preserve">lap: validacio</t>
  </si>
  <si>
    <t xml:space="preserve">Ellenőrzési szabályok, a jelenlegi feedben mért sérülésszámmal és példákkal – tesztként / betöltés utáni ellenőrzésként implementálandó.</t>
  </si>
  <si>
    <t xml:space="preserve">lap: kodlistak</t>
  </si>
  <si>
    <t xml:space="preserve">Kódolt mezők összes előforduló értéke, darabszám, jelentés, státusz.</t>
  </si>
  <si>
    <t xml:space="preserve">lap: kategoriak</t>
  </si>
  <si>
    <t xml:space="preserve">Kategória → alkategória hierarchia (id, név, termékszám).</t>
  </si>
  <si>
    <t xml:space="preserve">lap: parameterek</t>
  </si>
  <si>
    <t xml:space="preserve">A 37 féle Parameter (id, név, javasolt oszlopnév, kitöltöttség, leggyakoribb értékek).</t>
  </si>
  <si>
    <t xml:space="preserve">lap: xml_minta</t>
  </si>
  <si>
    <t xml:space="preserve">Két termék nyers XML-je soronként (10000-327 = 1. rekord; 10729-300 = Jellemzo és Video példával).</t>
  </si>
  <si>
    <t xml:space="preserve">lap: minta_termek</t>
  </si>
  <si>
    <t xml:space="preserve">ELVÁRT KIMENET: a termek tábla az első 10 rekordra (a feed sorrendjében).</t>
  </si>
  <si>
    <t xml:space="preserve">lap: minta_kep</t>
  </si>
  <si>
    <t xml:space="preserve">ELVÁRT KIMENET: a termek_kep tábla az első 10 rekordra.</t>
  </si>
  <si>
    <t xml:space="preserve">lap: minta_parameter</t>
  </si>
  <si>
    <t xml:space="preserve">ELVÁRT KIMENET: a termek_parameter tábla az első 10 rekordra.</t>
  </si>
  <si>
    <t xml:space="preserve">lap: minta_jellemzo</t>
  </si>
  <si>
    <t xml:space="preserve">ELVÁRT KIMENET: a termek_jellemzo tábla a 10729-300 rekordra (az első 10-ben nincs Jellemzo).</t>
  </si>
  <si>
    <t xml:space="preserve">xpath</t>
  </si>
  <si>
    <t xml:space="preserve">relativ_xpath</t>
  </si>
  <si>
    <t xml:space="preserve">szulo_xpath</t>
  </si>
  <si>
    <t xml:space="preserve">node_tipus</t>
  </si>
  <si>
    <t xml:space="preserve">szint</t>
  </si>
  <si>
    <t xml:space="preserve">sorrend_szulon_belul</t>
  </si>
  <si>
    <t xml:space="preserve">kardinalitas</t>
  </si>
  <si>
    <t xml:space="preserve">ismetlodo_kulcs</t>
  </si>
  <si>
    <t xml:space="preserve">cdata</t>
  </si>
  <si>
    <t xml:space="preserve">ertek_tipus</t>
  </si>
  <si>
    <t xml:space="preserve">formatum_regex</t>
  </si>
  <si>
    <t xml:space="preserve">regex_illeszkedik (db / nem üres)</t>
  </si>
  <si>
    <t xml:space="preserve">ures_lehet</t>
  </si>
  <si>
    <t xml:space="preserve">ures_jelentese</t>
  </si>
  <si>
    <t xml:space="preserve">db_egysege</t>
  </si>
  <si>
    <t xml:space="preserve">elofordul_db</t>
  </si>
  <si>
    <t xml:space="preserve">nem_ures_db</t>
  </si>
  <si>
    <t xml:space="preserve">kitoltottseg</t>
  </si>
  <si>
    <t xml:space="preserve">distinct_db</t>
  </si>
  <si>
    <t xml:space="preserve">min_ertek</t>
  </si>
  <si>
    <t xml:space="preserve">max_ertek</t>
  </si>
  <si>
    <t xml:space="preserve">max_hossz</t>
  </si>
  <si>
    <t xml:space="preserve">pelda_ertek</t>
  </si>
  <si>
    <t xml:space="preserve">cel_tabla</t>
  </si>
  <si>
    <t xml:space="preserve">cel_oszlop</t>
  </si>
  <si>
    <t xml:space="preserve">leiras</t>
  </si>
  <si>
    <t xml:space="preserve">megjegyzes</t>
  </si>
  <si>
    <t xml:space="preserve">statusz</t>
  </si>
  <si>
    <t xml:space="preserve">/xml</t>
  </si>
  <si>
    <t xml:space="preserve">element (gyökér)</t>
  </si>
  <si>
    <t xml:space="preserve">1..1</t>
  </si>
  <si>
    <t xml:space="preserve">nem</t>
  </si>
  <si>
    <t xml:space="preserve">konténer</t>
  </si>
  <si>
    <t xml:space="preserve">Gyökérelem; csak Termek gyerekei vannak.</t>
  </si>
  <si>
    <t xml:space="preserve">megerositett</t>
  </si>
  <si>
    <t xml:space="preserve">/xml/Termek</t>
  </si>
  <si>
    <t xml:space="preserve">.</t>
  </si>
  <si>
    <t xml:space="preserve">element (rekord)</t>
  </si>
  <si>
    <t xml:space="preserve">1..n</t>
  </si>
  <si>
    <t xml:space="preserve">termek</t>
  </si>
  <si>
    <t xml:space="preserve">(1 sor / Termek)</t>
  </si>
  <si>
    <t xml:space="preserve">Egy cikk (variáns). 37 gyerekelem fix sorrendben.</t>
  </si>
  <si>
    <t xml:space="preserve">/xml/Termek/Cikkszam</t>
  </si>
  <si>
    <t xml:space="preserve">Cikkszam</t>
  </si>
  <si>
    <t xml:space="preserve">element</t>
  </si>
  <si>
    <t xml:space="preserve">string</t>
  </si>
  <si>
    <t xml:space="preserve">^[0-9A-Z/_]{8}$</t>
  </si>
  <si>
    <t xml:space="preserve">12433 / 12433</t>
  </si>
  <si>
    <t xml:space="preserve">10000327</t>
  </si>
  <si>
    <t xml:space="preserve">cikkszam</t>
  </si>
  <si>
    <t xml:space="preserve">Cikkszám kötőjel nélkül; elsődleges kulcs.</t>
  </si>
  <si>
    <t xml:space="preserve">Értéke a CikkszamK kötőjel nélkül (V02).</t>
  </si>
  <si>
    <t xml:space="preserve">/xml/Termek/CikkszamK</t>
  </si>
  <si>
    <t xml:space="preserve">CikkszamK</t>
  </si>
  <si>
    <t xml:space="preserve">^[0-9A-Z]{5}-[0-9A-Z/_]{3}$</t>
  </si>
  <si>
    <t xml:space="preserve">10000-327</t>
  </si>
  <si>
    <t xml:space="preserve">cikkszam_k</t>
  </si>
  <si>
    <t xml:space="preserve">Cikkszám kötőjeles formában ("ccccc-vvv").</t>
  </si>
  <si>
    <t xml:space="preserve">Parameter[@id=5] ugyanezt ismétli (V03).</t>
  </si>
  <si>
    <t xml:space="preserve">/xml/Termek/Termeknev</t>
  </si>
  <si>
    <t xml:space="preserve">Termeknev</t>
  </si>
  <si>
    <t xml:space="preserve">igen</t>
  </si>
  <si>
    <t xml:space="preserve">CRAB RED 12CM</t>
  </si>
  <si>
    <t xml:space="preserve">termeknev</t>
  </si>
  <si>
    <t xml:space="preserve">A variáns neve.</t>
  </si>
  <si>
    <t xml:space="preserve">Tartalmazhat &amp;, angol rövidítéseket (pl. 10PCS/BAG).</t>
  </si>
  <si>
    <t xml:space="preserve">/xml/Termek/Fotermek</t>
  </si>
  <si>
    <t xml:space="preserve">Fotermek</t>
  </si>
  <si>
    <t xml:space="preserve">WIZARD CRAB</t>
  </si>
  <si>
    <t xml:space="preserve">fotermek_nev</t>
  </si>
  <si>
    <t xml:space="preserve">Főtermék (termékcsalád) neve.</t>
  </si>
  <si>
    <t xml:space="preserve">A név nem egyedi: 3 605 név 3 623 id-hoz.</t>
  </si>
  <si>
    <t xml:space="preserve">/xml/Termek/Fotermek/@id</t>
  </si>
  <si>
    <t xml:space="preserve">Fotermek/@id</t>
  </si>
  <si>
    <t xml:space="preserve">attribute</t>
  </si>
  <si>
    <t xml:space="preserve">attr</t>
  </si>
  <si>
    <t xml:space="preserve">integer</t>
  </si>
  <si>
    <t xml:space="preserve">^\d+$</t>
  </si>
  <si>
    <t xml:space="preserve">24021</t>
  </si>
  <si>
    <t xml:space="preserve">fotermek_id</t>
  </si>
  <si>
    <t xml:space="preserve">Főtermék azonosító; a variánsokat fogja össze (átlag 3,4, max 61 variáns).</t>
  </si>
  <si>
    <t xml:space="preserve">/xml/Termek/Termek_link</t>
  </si>
  <si>
    <t xml:space="preserve">Termek_link</t>
  </si>
  <si>
    <t xml:space="preserve">url</t>
  </si>
  <si>
    <t xml:space="preserve">^https://energofish\.hu/product\.php/[^/]+/\d+/$</t>
  </si>
  <si>
    <t xml:space="preserve">https://energofish.hu/product.php/Mucsali-WIZARD-CRAB/24021/</t>
  </si>
  <si>
    <t xml:space="preserve">termek_link</t>
  </si>
  <si>
    <t xml:space="preserve">A főtermék webshop oldala (az URL végén a Fotermek @id).</t>
  </si>
  <si>
    <t xml:space="preserve">Főtermékenként azonos, 1 kivétellel (18489, V25).</t>
  </si>
  <si>
    <t xml:space="preserve">/xml/Termek/Vonalkod</t>
  </si>
  <si>
    <t xml:space="preserve">Vonalkod</t>
  </si>
  <si>
    <t xml:space="preserve">string (EAN-13)</t>
  </si>
  <si>
    <t xml:space="preserve">^\d{13}$</t>
  </si>
  <si>
    <t xml:space="preserve">12292 / 12322</t>
  </si>
  <si>
    <t xml:space="preserve">nincs vonalkód</t>
  </si>
  <si>
    <t xml:space="preserve">5999018248267</t>
  </si>
  <si>
    <t xml:space="preserve">vonalkod</t>
  </si>
  <si>
    <t xml:space="preserve">Elsődleges vonalkód.</t>
  </si>
  <si>
    <t xml:space="preserve">Szövegként tárolandó! 30 db nem 13 jegyű, 9 db hibás ellenőrző számjegy (V06–V08).</t>
  </si>
  <si>
    <t xml:space="preserve">/xml/Termek/Vonalkod2</t>
  </si>
  <si>
    <t xml:space="preserve">Vonalkod2</t>
  </si>
  <si>
    <t xml:space="preserve">string (EAN/GTIN)</t>
  </si>
  <si>
    <t xml:space="preserve">^\d{12,14}$</t>
  </si>
  <si>
    <t xml:space="preserve">1816 / 1822</t>
  </si>
  <si>
    <t xml:space="preserve">nincs második vonalkód</t>
  </si>
  <si>
    <t xml:space="preserve">5999065638578</t>
  </si>
  <si>
    <t xml:space="preserve">vonalkod2</t>
  </si>
  <si>
    <t xml:space="preserve">Második vonalkód.</t>
  </si>
  <si>
    <t xml:space="preserve">12–14 jegyű; 5 db sérült (Excel tudományos alak, "ö" elütés), 1 db a cikkszám került ide (V09, V09b).</t>
  </si>
  <si>
    <t xml:space="preserve">/xml/Termek/VTSZ_SZJ</t>
  </si>
  <si>
    <t xml:space="preserve">VTSZ_SZJ</t>
  </si>
  <si>
    <t xml:space="preserve">string (8 számjegy)</t>
  </si>
  <si>
    <t xml:space="preserve">^\d{8}$</t>
  </si>
  <si>
    <t xml:space="preserve">12420 / 12423</t>
  </si>
  <si>
    <t xml:space="preserve">nincs VTSZ</t>
  </si>
  <si>
    <t xml:space="preserve">95079000</t>
  </si>
  <si>
    <t xml:space="preserve">vtsz</t>
  </si>
  <si>
    <t xml:space="preserve">Vámtarifaszám.</t>
  </si>
  <si>
    <t xml:space="preserve">2 db 10 jegyű, 1 db "..........".</t>
  </si>
  <si>
    <t xml:space="preserve">/xml/Termek/Kategoria</t>
  </si>
  <si>
    <t xml:space="preserve">Kategoria</t>
  </si>
  <si>
    <t xml:space="preserve">id=1 esetén üres név</t>
  </si>
  <si>
    <t xml:space="preserve">Műcsali</t>
  </si>
  <si>
    <t xml:space="preserve">kategoria_nev</t>
  </si>
  <si>
    <t xml:space="preserve">Főkategória neve.</t>
  </si>
  <si>
    <t xml:space="preserve">Lásd kategoriak lap.</t>
  </si>
  <si>
    <t xml:space="preserve">/xml/Termek/Kategoria/@id</t>
  </si>
  <si>
    <t xml:space="preserve">Kategoria/@id</t>
  </si>
  <si>
    <t xml:space="preserve">210</t>
  </si>
  <si>
    <t xml:space="preserve">kategoria_id</t>
  </si>
  <si>
    <t xml:space="preserve">Főkategória azonosító (28 féle).</t>
  </si>
  <si>
    <t xml:space="preserve">/xml/Termek/Alkategoria</t>
  </si>
  <si>
    <t xml:space="preserve">Alkategoria</t>
  </si>
  <si>
    <t xml:space="preserve">Gumihal</t>
  </si>
  <si>
    <t xml:space="preserve">alkategoria_nev</t>
  </si>
  <si>
    <t xml:space="preserve">Alkategória neve.</t>
  </si>
  <si>
    <t xml:space="preserve">291 értéknél szóköz a végén ("Feeder ") → strip.</t>
  </si>
  <si>
    <t xml:space="preserve">/xml/Termek/Alkategoria/@id</t>
  </si>
  <si>
    <t xml:space="preserve">Alkategoria/@id</t>
  </si>
  <si>
    <t xml:space="preserve">210040</t>
  </si>
  <si>
    <t xml:space="preserve">alkategoria_id</t>
  </si>
  <si>
    <t xml:space="preserve">Alkategória azonosító; a Kategoria @id-val kezdődik (210 → 210040).</t>
  </si>
  <si>
    <t xml:space="preserve">Kivétel: Kategoria 1 → Alkategoria 999 (V13).</t>
  </si>
  <si>
    <t xml:space="preserve">/xml/Termek/Marka_gyarto</t>
  </si>
  <si>
    <t xml:space="preserve">Marka_gyarto</t>
  </si>
  <si>
    <t xml:space="preserve">Arno</t>
  </si>
  <si>
    <t xml:space="preserve">marka</t>
  </si>
  <si>
    <t xml:space="preserve">Márka / gyártó (78 féle).</t>
  </si>
  <si>
    <t xml:space="preserve">/xml/Termek/Nagyker_netto</t>
  </si>
  <si>
    <t xml:space="preserve">Nagyker_netto</t>
  </si>
  <si>
    <t xml:space="preserve">integer (HUF)</t>
  </si>
  <si>
    <t xml:space="preserve">395</t>
  </si>
  <si>
    <t xml:space="preserve">nagyker_netto_ft</t>
  </si>
  <si>
    <t xml:space="preserve">Nagyker nettó listaár, Ft / értékesítési egység.</t>
  </si>
  <si>
    <t xml:space="preserve">/xml/Termek/Nagyker_akcios_netto</t>
  </si>
  <si>
    <t xml:space="preserve">Nagyker_akcios_netto</t>
  </si>
  <si>
    <t xml:space="preserve">0 = nincs akció (8 878 termék)</t>
  </si>
  <si>
    <t xml:space="preserve">320</t>
  </si>
  <si>
    <t xml:space="preserve">nagyker_akcios_netto_ft</t>
  </si>
  <si>
    <t xml:space="preserve">Nagyker nettó akciós ár, Ft.</t>
  </si>
  <si>
    <t xml:space="preserve">Akció jelzése: &gt;0 (V14–V16).</t>
  </si>
  <si>
    <t xml:space="preserve">/xml/Termek/Kisker_brutto</t>
  </si>
  <si>
    <t xml:space="preserve">Kisker_brutto</t>
  </si>
  <si>
    <t xml:space="preserve">690</t>
  </si>
  <si>
    <t xml:space="preserve">kisker_brutto_ft</t>
  </si>
  <si>
    <t xml:space="preserve">Kisker bruttó ár (27% ÁFA), Ft.</t>
  </si>
  <si>
    <t xml:space="preserve">/xml/Termek/Kisker_akcios_brutto</t>
  </si>
  <si>
    <t xml:space="preserve">Kisker_akcios_brutto</t>
  </si>
  <si>
    <t xml:space="preserve">0 = nincs akció</t>
  </si>
  <si>
    <t xml:space="preserve">530</t>
  </si>
  <si>
    <t xml:space="preserve">kisker_akcios_brutto_ft</t>
  </si>
  <si>
    <t xml:space="preserve">Kisker bruttó akciós ár, Ft.</t>
  </si>
  <si>
    <t xml:space="preserve">/xml/Termek/Min_mennyiseg_nagyker</t>
  </si>
  <si>
    <t xml:space="preserve">Min_mennyiseg_nagyker</t>
  </si>
  <si>
    <t xml:space="preserve">1</t>
  </si>
  <si>
    <t xml:space="preserve">min_mennyiseg_nagyker</t>
  </si>
  <si>
    <t xml:space="preserve">Minimális nagyker rendelési mennyiség.</t>
  </si>
  <si>
    <t xml:space="preserve">Minimum vagy többszörös? – nyitott kérdés.</t>
  </si>
  <si>
    <t xml:space="preserve">feltetelezes</t>
  </si>
  <si>
    <t xml:space="preserve">/xml/Termek/Min_mennyiseg_kisker</t>
  </si>
  <si>
    <t xml:space="preserve">Min_mennyiseg_kisker</t>
  </si>
  <si>
    <t xml:space="preserve">min_mennyiseg_kisker</t>
  </si>
  <si>
    <t xml:space="preserve">Minimális kisker rendelési mennyiség.</t>
  </si>
  <si>
    <t xml:space="preserve">1 db 0 érték (V20).</t>
  </si>
  <si>
    <t xml:space="preserve">/xml/Termek/KartonMennyiseg</t>
  </si>
  <si>
    <t xml:space="preserve">KartonMennyiseg</t>
  </si>
  <si>
    <t xml:space="preserve">24</t>
  </si>
  <si>
    <t xml:space="preserve">karton_mennyiseg</t>
  </si>
  <si>
    <t xml:space="preserve">Hány értékesítési egység van egy gyűjtőkartonban.</t>
  </si>
  <si>
    <t xml:space="preserve">Ömlesztett horgoknál 290 000-ig.</t>
  </si>
  <si>
    <t xml:space="preserve">/xml/Termek/KartonSuly</t>
  </si>
  <si>
    <t xml:space="preserve">KartonSuly</t>
  </si>
  <si>
    <t xml:space="preserve">decimal (4 tizedes, pont)</t>
  </si>
  <si>
    <t xml:space="preserve">^\d+\.\d{4}$</t>
  </si>
  <si>
    <t xml:space="preserve">0.0000 = nincs adat</t>
  </si>
  <si>
    <t xml:space="preserve">1.2000</t>
  </si>
  <si>
    <t xml:space="preserve">karton_suly</t>
  </si>
  <si>
    <t xml:space="preserve">Karton tömege.</t>
  </si>
  <si>
    <t xml:space="preserve">Mértékegység nincs megadva; feltehetően kg.</t>
  </si>
  <si>
    <t xml:space="preserve">/xml/Termek/KartonTerfogat</t>
  </si>
  <si>
    <t xml:space="preserve">KartonTerfogat</t>
  </si>
  <si>
    <t xml:space="preserve">0.0090</t>
  </si>
  <si>
    <t xml:space="preserve">karton_terfogat</t>
  </si>
  <si>
    <t xml:space="preserve">Karton térfogata.</t>
  </si>
  <si>
    <t xml:space="preserve">Feltehetően m³ (0.0090 = 9 l). 740 db 0.</t>
  </si>
  <si>
    <t xml:space="preserve">/xml/Termek/Letrehozas_datuma</t>
  </si>
  <si>
    <t xml:space="preserve">Letrehozas_datuma</t>
  </si>
  <si>
    <t xml:space="preserve">datetime "YYYY-MM-DD HH:MM:SS"</t>
  </si>
  <si>
    <t xml:space="preserve">^\d{4}-\d{2}-\d{2} \d{2}:\d{2}:\d{2}$</t>
  </si>
  <si>
    <t xml:space="preserve">"0000-00-00 00:00:00" = ismeretlen</t>
  </si>
  <si>
    <t xml:space="preserve">2024-11-11 07:32:44</t>
  </si>
  <si>
    <t xml:space="preserve">letrehozas_datuma</t>
  </si>
  <si>
    <t xml:space="preserve">A cikk létrehozásának időpontja.</t>
  </si>
  <si>
    <t xml:space="preserve">1 db érvénytelen (V17).</t>
  </si>
  <si>
    <t xml:space="preserve">/xml/Termek/Keszleten</t>
  </si>
  <si>
    <t xml:space="preserve">Keszleten</t>
  </si>
  <si>
    <t xml:space="preserve">kód (integer)</t>
  </si>
  <si>
    <t xml:space="preserve">^[012]$</t>
  </si>
  <si>
    <t xml:space="preserve">keszleten_kod</t>
  </si>
  <si>
    <t xml:space="preserve">Készletállapot jelző, NEM mennyiség: 0 = nincs, 1 = van, 2 = ?</t>
  </si>
  <si>
    <t xml:space="preserve">A 2-es érték jelentése ismeretlen.</t>
  </si>
  <si>
    <t xml:space="preserve">ismeretlen</t>
  </si>
  <si>
    <t xml:space="preserve">/xml/Termek/Termekleiras</t>
  </si>
  <si>
    <t xml:space="preserve">Termekleiras</t>
  </si>
  <si>
    <t xml:space="preserve">HTML szöveg</t>
  </si>
  <si>
    <t xml:space="preserve">nincs leírás</t>
  </si>
  <si>
    <t xml:space="preserve">&lt;p&gt;	Wizard Crab &lt;/p&gt;&lt;p&gt;	Egyedi rákutánzat, melyet a legtöbb ragadozó szívesen fogyaszt. &lt;/p&gt;&lt;p&gt;	Jigr</t>
  </si>
  <si>
    <t xml:space="preserve">termekleiras_html</t>
  </si>
  <si>
    <t xml:space="preserve">Termékleírás HTML-ben (&lt;p&gt;, &lt;ul&gt;, &lt;li&gt;, &lt;strong&gt;, &lt;br&gt;…).</t>
  </si>
  <si>
    <t xml:space="preserve">Max 11 098 karakter; nem kell HTML-t tisztítani a nyers oszlopban.</t>
  </si>
  <si>
    <t xml:space="preserve">/xml/Termek/Kepek</t>
  </si>
  <si>
    <t xml:space="preserve">Kepek</t>
  </si>
  <si>
    <t xml:space="preserve">element (konténer)</t>
  </si>
  <si>
    <t xml:space="preserve">termek_kep</t>
  </si>
  <si>
    <t xml:space="preserve">—</t>
  </si>
  <si>
    <t xml:space="preserve">Képek konténere; mindig van benne legalább 4 Kep.</t>
  </si>
  <si>
    <t xml:space="preserve">/xml/Termek/Kepek/Kep</t>
  </si>
  <si>
    <t xml:space="preserve">Kepek/Kep</t>
  </si>
  <si>
    <t xml:space="preserve">element (ismétlődő)</t>
  </si>
  <si>
    <t xml:space="preserve">4..68 / Termek</t>
  </si>
  <si>
    <t xml:space="preserve">@id</t>
  </si>
  <si>
    <t xml:space="preserve">^https://images\.energofish\.hu/(thumb|code|small|large|gallery)image/[^/\s]+\.(JPG|jpg|jpeg|JPEG|png|PNG)$</t>
  </si>
  <si>
    <t xml:space="preserve">68154 / 68166</t>
  </si>
  <si>
    <t xml:space="preserve">az adott képtípus nincs</t>
  </si>
  <si>
    <t xml:space="preserve">elem</t>
  </si>
  <si>
    <t xml:space="preserve">https://images.energofish.hu/thumbimage/T10000-330.JPG</t>
  </si>
  <si>
    <t xml:space="preserve">Kép URL. Sorrend fix: thumb, code, small, large, majd gallery1…galleryN folytonosan.</t>
  </si>
  <si>
    <t xml:space="preserve">thumb, small és gallery főtermék-szintű (minden variánsnál ugyanaz); code és large variáns-szintű. 10 URL szóközt tartalmaz, 2 db .WEBP (V35).</t>
  </si>
  <si>
    <t xml:space="preserve">/xml/Termek/Kepek/Kep/@id</t>
  </si>
  <si>
    <t xml:space="preserve">Kepek/Kep/@id</t>
  </si>
  <si>
    <t xml:space="preserve">kód</t>
  </si>
  <si>
    <t xml:space="preserve">thumb | code | small | large | gallery1…gallery64</t>
  </si>
  <si>
    <t xml:space="preserve">kep_id, kep_tipus, galeria_sorszam</t>
  </si>
  <si>
    <t xml:space="preserve">A kép típusa; egy Termek-en belül egyedi.</t>
  </si>
  <si>
    <t xml:space="preserve">/xml/Termek/Video</t>
  </si>
  <si>
    <t xml:space="preserve">Video</t>
  </si>
  <si>
    <t xml:space="preserve">részben (ha kitöltött)</t>
  </si>
  <si>
    <t xml:space="preserve">url (YouTube)</t>
  </si>
  <si>
    <t xml:space="preserve">^https://(www\.)?(youtube\.com/watch\?v=|youtu\.be/)[\w\-]{11}(&amp;\S*)?$</t>
  </si>
  <si>
    <t xml:space="preserve">953 / 954</t>
  </si>
  <si>
    <t xml:space="preserve">nincs videó</t>
  </si>
  <si>
    <t xml:space="preserve">https://www.youtube.com/watch?v=0X83mqSyvN0</t>
  </si>
  <si>
    <t xml:space="preserve">video_url</t>
  </si>
  <si>
    <t xml:space="preserve">Termékvideó URL.</t>
  </si>
  <si>
    <t xml:space="preserve">9 db extra paraméterrel (&amp;t=, &amp;ab_channel=), 1 db hibás "?feature=share" (V31).</t>
  </si>
  <si>
    <t xml:space="preserve">/xml/Termek/Video/@title</t>
  </si>
  <si>
    <t xml:space="preserve">Video/@title</t>
  </si>
  <si>
    <t xml:space="preserve">Kamasaki Tele Power bot</t>
  </si>
  <si>
    <t xml:space="preserve">video_cim</t>
  </si>
  <si>
    <t xml:space="preserve">Videó címe; pontosan akkor kitöltött, ha az URL is.</t>
  </si>
  <si>
    <t xml:space="preserve">Végén gyakran szóköz → strip.</t>
  </si>
  <si>
    <t xml:space="preserve">/xml/Termek/Termek_jellemzok</t>
  </si>
  <si>
    <t xml:space="preserve">Termek_jellemzok</t>
  </si>
  <si>
    <t xml:space="preserve">termek_jellemzo</t>
  </si>
  <si>
    <t xml:space="preserve">Jellemző-blokkok konténere; 10 890 terméknél üres (csak whitespace).</t>
  </si>
  <si>
    <t xml:space="preserve">/xml/Termek/Termek_jellemzok/Jellemzo</t>
  </si>
  <si>
    <t xml:space="preserve">Termek_jellemzok/Jellemzo</t>
  </si>
  <si>
    <t xml:space="preserve">0..6 / Termek</t>
  </si>
  <si>
    <t xml:space="preserve">üres blokk (260 db)</t>
  </si>
  <si>
    <t xml:space="preserve">A úgynevezett SIC (szilícium-karbid) gyűrűk…</t>
  </si>
  <si>
    <t xml:space="preserve">szoveg</t>
  </si>
  <si>
    <t xml:space="preserve">Szabványos technológiai leírásblokk (gyűrű, nyél, karbon…). Csak Horgok, Botok, Zsinórok, Orsók kategóriában; 1 543 termék.</t>
  </si>
  <si>
    <t xml:space="preserve">/xml/Termek/Termek_jellemzok/Jellemzo/@id</t>
  </si>
  <si>
    <t xml:space="preserve">Termek_jellemzok/Jellemzo/@id</t>
  </si>
  <si>
    <t xml:space="preserve">100</t>
  </si>
  <si>
    <t xml:space="preserve">jellemzo_id</t>
  </si>
  <si>
    <t xml:space="preserve">A blokk azonosítója (99 féle); terméken belül egyedi.</t>
  </si>
  <si>
    <t xml:space="preserve">/xml/Termek/Termek_jellemzok/Jellemzo/@name</t>
  </si>
  <si>
    <t xml:space="preserve">Termek_jellemzok/Jellemzo/@name</t>
  </si>
  <si>
    <t xml:space="preserve">mindig üres</t>
  </si>
  <si>
    <t xml:space="preserve">""</t>
  </si>
  <si>
    <t xml:space="preserve">(nem kerül át)</t>
  </si>
  <si>
    <t xml:space="preserve">Mindig üres – nem hordoz információt.</t>
  </si>
  <si>
    <t xml:space="preserve">/xml/Termek/Parameterek</t>
  </si>
  <si>
    <t xml:space="preserve">Parameterek</t>
  </si>
  <si>
    <t xml:space="preserve">termek_parameter</t>
  </si>
  <si>
    <t xml:space="preserve">Paraméterek konténere; mindig van benne legalább 2 Parameter (a Cikkszám mindig).</t>
  </si>
  <si>
    <t xml:space="preserve">/xml/Termek/Parameterek/Parameter</t>
  </si>
  <si>
    <t xml:space="preserve">Parameterek/Parameter</t>
  </si>
  <si>
    <t xml:space="preserve">2..10 / Termek</t>
  </si>
  <si>
    <t xml:space="preserve">a sablonban szerepel, de nincs érték</t>
  </si>
  <si>
    <t xml:space="preserve">12 cm</t>
  </si>
  <si>
    <t xml:space="preserve">Szabad szöveges tulajdonság. Hogy melyik paraméter jelenik meg, a kategória sablonja dönti el.</t>
  </si>
  <si>
    <t xml:space="preserve">Az "Akció" (id=40) a bot akciója, nem árakció!</t>
  </si>
  <si>
    <t xml:space="preserve">/xml/Termek/Parameterek/Parameter/@id</t>
  </si>
  <si>
    <t xml:space="preserve">Parameterek/Parameter/@id</t>
  </si>
  <si>
    <t xml:space="preserve">21</t>
  </si>
  <si>
    <t xml:space="preserve">parameter_id</t>
  </si>
  <si>
    <t xml:space="preserve">Paraméter azonosító (37 féle, lásd parameterek); terméken belül egyedi.</t>
  </si>
  <si>
    <t xml:space="preserve">/xml/Termek/Parameterek/Parameter/@name</t>
  </si>
  <si>
    <t xml:space="preserve">Parameterek/Parameter/@name</t>
  </si>
  <si>
    <t xml:space="preserve">Méret</t>
  </si>
  <si>
    <t xml:space="preserve">parameter_nev</t>
  </si>
  <si>
    <t xml:space="preserve">Paraméter neve; az id-hoz 1:1 tartozik.</t>
  </si>
  <si>
    <t xml:space="preserve">/xml/Termek/Nagyker_egysegar_netto</t>
  </si>
  <si>
    <t xml:space="preserve">Nagyker_egysegar_netto</t>
  </si>
  <si>
    <t xml:space="preserve">összetett szöveg "&lt;egész&gt; Ft/&lt;egység&gt;"</t>
  </si>
  <si>
    <t xml:space="preserve">^\d+ Ft/[0-9A-Z]+$</t>
  </si>
  <si>
    <t xml:space="preserve">7805 / 7805</t>
  </si>
  <si>
    <t xml:space="preserve">Kiszerelesi_egyseg üres → ez is üres (4 628)</t>
  </si>
  <si>
    <t xml:space="preserve">395 Ft/DB</t>
  </si>
  <si>
    <t xml:space="preserve">nagyker_egysegar_netto_ft + egysegar_egyseg</t>
  </si>
  <si>
    <t xml:space="preserve">Nagyker nettó egységár a kiszerelés tartalmára vetítve (pl. 600 Ft-os 10 db/csomag → "60 Ft/DB").</t>
  </si>
  <si>
    <t xml:space="preserve">Egész Ft-ra kerekített (340 Ft/100 m → "3 Ft/M"). Nem akciósnál "0 Ft/&lt;egység&gt;". Az egység = Kiszerelesi_egyseg (V21).</t>
  </si>
  <si>
    <t xml:space="preserve">/xml/Termek/Nagyker_akcios_egysegar_netto</t>
  </si>
  <si>
    <t xml:space="preserve">Nagyker_akcios_egysegar_netto</t>
  </si>
  <si>
    <t xml:space="preserve">320 Ft/DB</t>
  </si>
  <si>
    <t xml:space="preserve">nagyker_akcios_egysegar_netto_ft + egysegar_egyseg</t>
  </si>
  <si>
    <t xml:space="preserve">Nagyker nettó akciós egységár a kiszerelés tartalmára vetítve (pl. 600 Ft-os 10 db/csomag → "60 Ft/DB").</t>
  </si>
  <si>
    <t xml:space="preserve">/xml/Termek/Kisker_egysegar_brutto</t>
  </si>
  <si>
    <t xml:space="preserve">Kisker_egysegar_brutto</t>
  </si>
  <si>
    <t xml:space="preserve">690 Ft/DB</t>
  </si>
  <si>
    <t xml:space="preserve">kisker_egysegar_brutto_ft + egysegar_egyseg</t>
  </si>
  <si>
    <t xml:space="preserve">Kisker bruttó egységár a kiszerelés tartalmára vetítve (pl. 600 Ft-os 10 db/csomag → "60 Ft/DB").</t>
  </si>
  <si>
    <t xml:space="preserve">/xml/Termek/Kisker_akcios_egysegar_brutto</t>
  </si>
  <si>
    <t xml:space="preserve">Kisker_akcios_egysegar_brutto</t>
  </si>
  <si>
    <t xml:space="preserve">530 Ft/DB</t>
  </si>
  <si>
    <t xml:space="preserve">kisker_akcios_egysegar_brutto_ft + egysegar_egyseg</t>
  </si>
  <si>
    <t xml:space="preserve">Kisker bruttó akciós egységár a kiszerelés tartalmára vetítve (pl. 600 Ft-os 10 db/csomag → "60 Ft/DB").</t>
  </si>
  <si>
    <t xml:space="preserve">/xml/Termek/Ertekesitesi_egyseg</t>
  </si>
  <si>
    <t xml:space="preserve">Ertekesitesi_egyseg</t>
  </si>
  <si>
    <t xml:space="preserve">^[A-Z]+$</t>
  </si>
  <si>
    <t xml:space="preserve">DB</t>
  </si>
  <si>
    <t xml:space="preserve">ertekesitesi_egyseg</t>
  </si>
  <si>
    <t xml:space="preserve">Értékesítési egység, amire az ár vonatkozik.</t>
  </si>
  <si>
    <t xml:space="preserve">12 432 × DB, 1 × L.</t>
  </si>
  <si>
    <t xml:space="preserve">/xml/Termek/Kiszerelesi_egyseg</t>
  </si>
  <si>
    <t xml:space="preserve">Kiszerelesi_egyseg</t>
  </si>
  <si>
    <t xml:space="preserve">^[0-9A-Z]+$</t>
  </si>
  <si>
    <t xml:space="preserve">nincs egységár</t>
  </si>
  <si>
    <t xml:space="preserve">kiszerelesi_egyseg</t>
  </si>
  <si>
    <t xml:space="preserve">Az egységár mértékegysége (DB, KG, M, L, G, ML, CS, 100DB, DL).</t>
  </si>
  <si>
    <t xml:space="preserve">A tartalom-mennyiség (10 db, 100 m) NINCS külön mezőben.</t>
  </si>
  <si>
    <t xml:space="preserve">/xml/Termek/Katalogus_info</t>
  </si>
  <si>
    <t xml:space="preserve">Katalogus_info</t>
  </si>
  <si>
    <t xml:space="preserve">kód (K / N)</t>
  </si>
  <si>
    <t xml:space="preserve">^[KN]$</t>
  </si>
  <si>
    <t xml:space="preserve">3813 / 3813</t>
  </si>
  <si>
    <t xml:space="preserve">nincs jelölés</t>
  </si>
  <si>
    <t xml:space="preserve">K</t>
  </si>
  <si>
    <t xml:space="preserve">katalogus_info</t>
  </si>
  <si>
    <t xml:space="preserve">Katalógus jelölő.</t>
  </si>
  <si>
    <t xml:space="preserve">K/N jelentése ismeretlen.</t>
  </si>
  <si>
    <t xml:space="preserve">/xml/Termek/Alacsony_keszlet</t>
  </si>
  <si>
    <t xml:space="preserve">Alacsony_keszlet</t>
  </si>
  <si>
    <t xml:space="preserve">kód (0/1)</t>
  </si>
  <si>
    <t xml:space="preserve">^[01]$</t>
  </si>
  <si>
    <t xml:space="preserve">alacsony_keszlet</t>
  </si>
  <si>
    <t xml:space="preserve">Alacsony készlet jelző (1 = alacsony).</t>
  </si>
  <si>
    <t xml:space="preserve">Küszöb ismeretlen.</t>
  </si>
  <si>
    <t xml:space="preserve">/xml/Termek/Fotermek_matrica</t>
  </si>
  <si>
    <t xml:space="preserve">Fotermek_matrica</t>
  </si>
  <si>
    <t xml:space="preserve">fájlnév "NNp_….png"</t>
  </si>
  <si>
    <t xml:space="preserve">^\d{2}p_[\w\-]+\.png$</t>
  </si>
  <si>
    <t xml:space="preserve">4480 / 4480</t>
  </si>
  <si>
    <t xml:space="preserve">nincs matrica</t>
  </si>
  <si>
    <t xml:space="preserve">56p_kifuto_plecsni.png</t>
  </si>
  <si>
    <t xml:space="preserve">fotermek_matrica</t>
  </si>
  <si>
    <t xml:space="preserve">Főtermék-szintű matrica képfájl neve (kifutó, készletcsökkentett, MOHOSZ, EFTTEX).</t>
  </si>
  <si>
    <t xml:space="preserve">Csak fájlnév, URL nincs.</t>
  </si>
  <si>
    <t xml:space="preserve">/xml/Termek/Altermek_matrica</t>
  </si>
  <si>
    <t xml:space="preserve">Altermek_matrica</t>
  </si>
  <si>
    <t xml:space="preserve">fájlnév "NNs_….png"</t>
  </si>
  <si>
    <t xml:space="preserve">^\d{2}s_[\w\-]+\.png$</t>
  </si>
  <si>
    <t xml:space="preserve">3470 / 3470</t>
  </si>
  <si>
    <t xml:space="preserve">56s_kifuto_plecsni.png</t>
  </si>
  <si>
    <t xml:space="preserve">altermek_matrica</t>
  </si>
  <si>
    <t xml:space="preserve">Variáns-szintű matrica képfájl neve.</t>
  </si>
  <si>
    <t xml:space="preserve">tabla</t>
  </si>
  <si>
    <t xml:space="preserve">oszlop</t>
  </si>
  <si>
    <t xml:space="preserve">sorrend</t>
  </si>
  <si>
    <t xml:space="preserve">adattipus</t>
  </si>
  <si>
    <t xml:space="preserve">nullable</t>
  </si>
  <si>
    <t xml:space="preserve">forras_relativ_xpath</t>
  </si>
  <si>
    <t xml:space="preserve">transzformacio</t>
  </si>
  <si>
    <t xml:space="preserve">VARCHAR(8)</t>
  </si>
  <si>
    <t xml:space="preserve">PK</t>
  </si>
  <si>
    <t xml:space="preserve">strip; szövegként</t>
  </si>
  <si>
    <t xml:space="preserve">Cikkszám kötőjel nélkül</t>
  </si>
  <si>
    <t xml:space="preserve">VARCHAR(9)</t>
  </si>
  <si>
    <t xml:space="preserve">UNIQUE</t>
  </si>
  <si>
    <t xml:space="preserve">strip</t>
  </si>
  <si>
    <t xml:space="preserve">Kötőjeles cikkszám</t>
  </si>
  <si>
    <t xml:space="preserve">VARCHAR(120)</t>
  </si>
  <si>
    <t xml:space="preserve">CDATA szöveg, strip</t>
  </si>
  <si>
    <t xml:space="preserve">Variáns neve</t>
  </si>
  <si>
    <t xml:space="preserve">INTEGER</t>
  </si>
  <si>
    <t xml:space="preserve">FK → fotermek</t>
  </si>
  <si>
    <t xml:space="preserve">int()</t>
  </si>
  <si>
    <t xml:space="preserve">Főtermék id</t>
  </si>
  <si>
    <t xml:space="preserve">Főtermék neve</t>
  </si>
  <si>
    <t xml:space="preserve">VARCHAR(200)</t>
  </si>
  <si>
    <t xml:space="preserve">Főtermék URL</t>
  </si>
  <si>
    <t xml:space="preserve">VARCHAR(14)</t>
  </si>
  <si>
    <t xml:space="preserve">strip (NBSP is); "" → NULL; SZÖVEG, nem szám</t>
  </si>
  <si>
    <t xml:space="preserve">Elsődleges EAN</t>
  </si>
  <si>
    <t xml:space="preserve">strip; ha nem csak számjegy → NULL (+ V09 napló)</t>
  </si>
  <si>
    <t xml:space="preserve">Második EAN</t>
  </si>
  <si>
    <t xml:space="preserve">VARCHAR(10)</t>
  </si>
  <si>
    <t xml:space="preserve">strip; ha nem csak számjegy → NULL</t>
  </si>
  <si>
    <t xml:space="preserve">Vámtarifaszám</t>
  </si>
  <si>
    <t xml:space="preserve">FK → kategoria</t>
  </si>
  <si>
    <t xml:space="preserve">Főkategória id</t>
  </si>
  <si>
    <t xml:space="preserve">VARCHAR(40)</t>
  </si>
  <si>
    <t xml:space="preserve">strip; "" → NULL</t>
  </si>
  <si>
    <t xml:space="preserve">Főkategória neve</t>
  </si>
  <si>
    <t xml:space="preserve">FK → alkategoria</t>
  </si>
  <si>
    <t xml:space="preserve">Alkategória id</t>
  </si>
  <si>
    <t xml:space="preserve">strip ("Feeder " → "Feeder")</t>
  </si>
  <si>
    <t xml:space="preserve">Alkategória neve</t>
  </si>
  <si>
    <t xml:space="preserve">Márka</t>
  </si>
  <si>
    <t xml:space="preserve">Nagyker nettó ár</t>
  </si>
  <si>
    <t xml:space="preserve">int(); a 0 megmarad (= nincs akció)</t>
  </si>
  <si>
    <t xml:space="preserve">Nagyker nettó akciós ár</t>
  </si>
  <si>
    <t xml:space="preserve">Kisker bruttó ár</t>
  </si>
  <si>
    <t xml:space="preserve">int(); a 0 megmarad</t>
  </si>
  <si>
    <t xml:space="preserve">Kisker bruttó akciós ár</t>
  </si>
  <si>
    <t xml:space="preserve">akcios</t>
  </si>
  <si>
    <t xml:space="preserve">BOOLEAN</t>
  </si>
  <si>
    <t xml:space="preserve">(származtatott)</t>
  </si>
  <si>
    <t xml:space="preserve">nagyker_akcios_netto_ft &gt; 0 OR kisker_akcios_brutto_ft &gt; 0</t>
  </si>
  <si>
    <t xml:space="preserve">Van-e akció</t>
  </si>
  <si>
    <t xml:space="preserve">Min. rendelés nagyker</t>
  </si>
  <si>
    <t xml:space="preserve">Min. rendelés kisker</t>
  </si>
  <si>
    <t xml:space="preserve">Db / karton</t>
  </si>
  <si>
    <t xml:space="preserve">DECIMAL(10,4)</t>
  </si>
  <si>
    <t xml:space="preserve">Decimal(); a 0 megmarad</t>
  </si>
  <si>
    <t xml:space="preserve">Karton tömeg (feltehetően kg)</t>
  </si>
  <si>
    <t xml:space="preserve">Karton térfogat (feltehetően m³)</t>
  </si>
  <si>
    <t xml:space="preserve">TIMESTAMP</t>
  </si>
  <si>
    <t xml:space="preserve">strptime("%Y-%m-%d %H:%M:%S"); "0000-00-00 00:00:00" → NULL</t>
  </si>
  <si>
    <t xml:space="preserve">Létrehozás időpontja</t>
  </si>
  <si>
    <t xml:space="preserve">SMALLINT</t>
  </si>
  <si>
    <t xml:space="preserve">int(); értékkészlet {0,1,2}</t>
  </si>
  <si>
    <t xml:space="preserve">Készletállapot kód</t>
  </si>
  <si>
    <t xml:space="preserve">TEXT</t>
  </si>
  <si>
    <t xml:space="preserve">CDATA tartalom változatlanul (HTML), strip; "" → NULL</t>
  </si>
  <si>
    <t xml:space="preserve">Leírás HTML</t>
  </si>
  <si>
    <t xml:space="preserve">YouTube URL</t>
  </si>
  <si>
    <t xml:space="preserve">Videó címe</t>
  </si>
  <si>
    <t xml:space="preserve">nagyker_egysegar_netto_ft</t>
  </si>
  <si>
    <t xml:space="preserve">regex ^(\d+) Ft/([0-9A-Z]+)$ → 1. csoport int; "" → NULL; a 0 megmarad</t>
  </si>
  <si>
    <t xml:space="preserve">Nagyker nettó egységár (kerekített, egész Ft)</t>
  </si>
  <si>
    <t xml:space="preserve">nagyker_akcios_egysegar_netto_ft</t>
  </si>
  <si>
    <t xml:space="preserve">Nagyker akciós egységár (kerekített, egész Ft)</t>
  </si>
  <si>
    <t xml:space="preserve">kisker_egysegar_brutto_ft</t>
  </si>
  <si>
    <t xml:space="preserve">Kisker bruttó egységár (kerekített, egész Ft)</t>
  </si>
  <si>
    <t xml:space="preserve">kisker_akcios_egysegar_brutto_ft</t>
  </si>
  <si>
    <t xml:space="preserve">Kisker akciós egységár (kerekített, egész Ft)</t>
  </si>
  <si>
    <t xml:space="preserve">egysegar_egyseg</t>
  </si>
  <si>
    <t xml:space="preserve">VARCHAR(6)</t>
  </si>
  <si>
    <t xml:space="preserve">regex 2. csoport; mindig = kiszerelesi_egyseg (V21)</t>
  </si>
  <si>
    <t xml:space="preserve">Egységár mértékegysége</t>
  </si>
  <si>
    <t xml:space="preserve">Értékesítési egység</t>
  </si>
  <si>
    <t xml:space="preserve">Kiszerelési egység</t>
  </si>
  <si>
    <t xml:space="preserve">CHAR(1)</t>
  </si>
  <si>
    <t xml:space="preserve">Katalógus jelölő (K/N)</t>
  </si>
  <si>
    <t xml:space="preserve">"1" → TRUE, "0" → FALSE</t>
  </si>
  <si>
    <t xml:space="preserve">Alacsony készlet</t>
  </si>
  <si>
    <t xml:space="preserve">VARCHAR(60)</t>
  </si>
  <si>
    <t xml:space="preserve">Főtermék matrica fájlnév</t>
  </si>
  <si>
    <t xml:space="preserve">Variáns matrica fájlnév</t>
  </si>
  <si>
    <t xml:space="preserve">PK1, FK → termek</t>
  </si>
  <si>
    <t xml:space="preserve">../../Cikkszam</t>
  </si>
  <si>
    <t xml:space="preserve">a szülő Termek cikkszáma</t>
  </si>
  <si>
    <t xml:space="preserve">kep_id</t>
  </si>
  <si>
    <t xml:space="preserve">PK2</t>
  </si>
  <si>
    <t xml:space="preserve">változatlanul (thumb, code, small, large, gallery1…)</t>
  </si>
  <si>
    <t xml:space="preserve">Képazonosító a terméken belül</t>
  </si>
  <si>
    <t xml:space="preserve">kep_tipus</t>
  </si>
  <si>
    <t xml:space="preserve">"galleryN" → "gallery", egyébként = kep_id</t>
  </si>
  <si>
    <t xml:space="preserve">Képtípus</t>
  </si>
  <si>
    <t xml:space="preserve">galeria_sorszam</t>
  </si>
  <si>
    <t xml:space="preserve">"galleryN" → N; egyébként NULL</t>
  </si>
  <si>
    <t xml:space="preserve">Galéria sorszám</t>
  </si>
  <si>
    <t xml:space="preserve">code, large → "variáns"; thumb, small, gallery → "főtermék"</t>
  </si>
  <si>
    <t xml:space="preserve">Melyik szintre jellemző a kép</t>
  </si>
  <si>
    <t xml:space="preserve">(pozíció)</t>
  </si>
  <si>
    <t xml:space="preserve">1-től számozott pozíció a Kepek-en belül</t>
  </si>
  <si>
    <t xml:space="preserve">Eredeti sorrend</t>
  </si>
  <si>
    <t xml:space="preserve">strip; ÜRES ELEMBŐL NEM KÉSZÜL SOR; letöltéskor URL-kódolás (szóköz!)</t>
  </si>
  <si>
    <t xml:space="preserve">Kép URL</t>
  </si>
  <si>
    <t xml:space="preserve">Paraméter id (37 féle)</t>
  </si>
  <si>
    <t xml:space="preserve">VARCHAR(30)</t>
  </si>
  <si>
    <t xml:space="preserve">változatlanul</t>
  </si>
  <si>
    <t xml:space="preserve">Paraméter név</t>
  </si>
  <si>
    <t xml:space="preserve">VARCHAR(100)</t>
  </si>
  <si>
    <t xml:space="preserve">CDATA, strip; ÜRES ÉRTÉKBŐL NEM KÉSZÜL SOR</t>
  </si>
  <si>
    <t xml:space="preserve">Paraméter érték (szöveg)</t>
  </si>
  <si>
    <t xml:space="preserve">1-től számozott pozíció a Parameterek-en belül (üresekkel együtt számolva)</t>
  </si>
  <si>
    <t xml:space="preserve">Jellemző blokk id (99 féle)</t>
  </si>
  <si>
    <t xml:space="preserve">1-től számozott pozíció</t>
  </si>
  <si>
    <t xml:space="preserve">Leírásblokk szövege (@name mindig üres, nem kerül át)</t>
  </si>
  <si>
    <t xml:space="preserve">fotermek</t>
  </si>
  <si>
    <t xml:space="preserve">DISTINCT a termek táblából</t>
  </si>
  <si>
    <t xml:space="preserve">opcionális dimenzió</t>
  </si>
  <si>
    <t xml:space="preserve">az első előfordulás értéke</t>
  </si>
  <si>
    <t xml:space="preserve">az első előfordulás értéke (18489-nél 2 különböző link van)</t>
  </si>
  <si>
    <t xml:space="preserve">kategoria</t>
  </si>
  <si>
    <t xml:space="preserve">DISTINCT</t>
  </si>
  <si>
    <t xml:space="preserve">alkategoria</t>
  </si>
  <si>
    <t xml:space="preserve">DISTINCT (id → név, kategória 1:1, V33)</t>
  </si>
  <si>
    <t xml:space="preserve">szabaly_id</t>
  </si>
  <si>
    <t xml:space="preserve">mezo_xpath</t>
  </si>
  <si>
    <t xml:space="preserve">szabaly</t>
  </si>
  <si>
    <t xml:space="preserve">ellenorzes</t>
  </si>
  <si>
    <t xml:space="preserve">sulyossag</t>
  </si>
  <si>
    <t xml:space="preserve">jelenlegi_serules_db</t>
  </si>
  <si>
    <t xml:space="preserve">pelda</t>
  </si>
  <si>
    <t xml:space="preserve">javasolt_kezeles</t>
  </si>
  <si>
    <t xml:space="preserve">V01</t>
  </si>
  <si>
    <t xml:space="preserve">Cikkszam egyedi a teljes feedben</t>
  </si>
  <si>
    <t xml:space="preserve">len(set(cikkszam)) == darab</t>
  </si>
  <si>
    <t xml:space="preserve">hiba</t>
  </si>
  <si>
    <t xml:space="preserve">Betöltés megállítása</t>
  </si>
  <si>
    <t xml:space="preserve">V02</t>
  </si>
  <si>
    <t xml:space="preserve">Cikkszam, CikkszamK</t>
  </si>
  <si>
    <t xml:space="preserve">Cikkszam == CikkszamK kötőjel nélkül</t>
  </si>
  <si>
    <t xml:space="preserve">Cikkszam == CikkszamK.replace('-','')</t>
  </si>
  <si>
    <t xml:space="preserve">Napló</t>
  </si>
  <si>
    <t xml:space="preserve">V03</t>
  </si>
  <si>
    <t xml:space="preserve">Parameter[@id=5]</t>
  </si>
  <si>
    <t xml:space="preserve">A "Cikkszám" paraméter == CikkszamK</t>
  </si>
  <si>
    <t xml:space="preserve">param[5] == CikkszamK</t>
  </si>
  <si>
    <t xml:space="preserve">figyelmeztetés</t>
  </si>
  <si>
    <t xml:space="preserve">V04</t>
  </si>
  <si>
    <t xml:space="preserve">Pontosan 37 gyerekelem, a xml_szerkezet szerinti sorrendben</t>
  </si>
  <si>
    <t xml:space="preserve">[c.tag for c in termek] == ELVART_SORREND</t>
  </si>
  <si>
    <t xml:space="preserve">Sémaváltozás → leállítás, értesítés</t>
  </si>
  <si>
    <t xml:space="preserve">V05</t>
  </si>
  <si>
    <t xml:space="preserve">Vonalkod üres</t>
  </si>
  <si>
    <t xml:space="preserve">vonalkod is None</t>
  </si>
  <si>
    <t xml:space="preserve">info</t>
  </si>
  <si>
    <t xml:space="preserve">12045-572, 12048-903, 12048-948, 12048-951, 12048-952</t>
  </si>
  <si>
    <t xml:space="preserve">NULL</t>
  </si>
  <si>
    <t xml:space="preserve">V06</t>
  </si>
  <si>
    <t xml:space="preserve">Vonalkod hossza nem 13</t>
  </si>
  <si>
    <t xml:space="preserve">len(vonalkod) != 13</t>
  </si>
  <si>
    <t xml:space="preserve">79007-751 (8885905362), 84412-9C5 (818541024689), 84414-1SG (590273031989), 84414-1SH (590306819944)</t>
  </si>
  <si>
    <t xml:space="preserve">Megtartani, napló (12 jegyű = valószínűleg UPC-A)</t>
  </si>
  <si>
    <t xml:space="preserve">V07</t>
  </si>
  <si>
    <t xml:space="preserve">EAN-13 ellenőrző számjegy hibás</t>
  </si>
  <si>
    <t xml:space="preserve">not ean13_checksum_ok(vonalkod)</t>
  </si>
  <si>
    <t xml:space="preserve">58273-250 (5996495012919), 74869-070 (1010101007183), 75395-300 (1010101004507), 79456-137 (5998065101379)</t>
  </si>
  <si>
    <t xml:space="preserve">Megtartani, napló</t>
  </si>
  <si>
    <t xml:space="preserve">V08</t>
  </si>
  <si>
    <t xml:space="preserve">Szóköz / NBSP az értékben</t>
  </si>
  <si>
    <t xml:space="preserve">raw != raw.strip() or "\u00a0" in raw</t>
  </si>
  <si>
    <t xml:space="preserve">SNBC0-053</t>
  </si>
  <si>
    <t xml:space="preserve">strip NBSP-vel együtt</t>
  </si>
  <si>
    <t xml:space="preserve">V09</t>
  </si>
  <si>
    <t xml:space="preserve">Nem csak számjegy (Excel tudományos alak "5,99821E+12", "ö" elütés a 0 helyett)</t>
  </si>
  <si>
    <t xml:space="preserve">not vonalkod2.isdigit()</t>
  </si>
  <si>
    <t xml:space="preserve">69720-215 (5,99821E+12), 84415-TTT (59ö273ö319658), 92000-305 (59975563ö3ö59), 92000-321 (6,00E+12), 94042-155 (5999561183öö8)</t>
  </si>
  <si>
    <t xml:space="preserve">NULL, napló</t>
  </si>
  <si>
    <t xml:space="preserve">V09b</t>
  </si>
  <si>
    <t xml:space="preserve">Vonalkod2 == Cikkszam (rossz mezőbe írt cikkszám)</t>
  </si>
  <si>
    <t xml:space="preserve">vonalkod2 == cikkszam</t>
  </si>
  <si>
    <t xml:space="preserve">72092-300 (72092300)</t>
  </si>
  <si>
    <t xml:space="preserve">V10</t>
  </si>
  <si>
    <t xml:space="preserve">VTSZ üres</t>
  </si>
  <si>
    <t xml:space="preserve">vtsz is None</t>
  </si>
  <si>
    <t xml:space="preserve">79904-216, SBS15-223, SBS23-520, SBS25-061, SBS25-062</t>
  </si>
  <si>
    <t xml:space="preserve">V11</t>
  </si>
  <si>
    <t xml:space="preserve">VTSZ nem 8 számjegy</t>
  </si>
  <si>
    <t xml:space="preserve">not re.fullmatch(r"\d{8}", vtsz)</t>
  </si>
  <si>
    <t xml:space="preserve">BUTOR-031 (..........), SBS13-517 (2308009090), SBS75-662 (2308009090)</t>
  </si>
  <si>
    <t xml:space="preserve">csak számjegy → megtartani; egyéb → NULL</t>
  </si>
  <si>
    <t xml:space="preserve">V12</t>
  </si>
  <si>
    <t xml:space="preserve">Kategória név üres</t>
  </si>
  <si>
    <t xml:space="preserve">kategoria_nev is None</t>
  </si>
  <si>
    <t xml:space="preserve">75395-316, 75395-317, 75395-318, 75395-319, 75395-320</t>
  </si>
  <si>
    <t xml:space="preserve">NULL (id=1)</t>
  </si>
  <si>
    <t xml:space="preserve">V13</t>
  </si>
  <si>
    <t xml:space="preserve">Alkategoria id nem a Kategoria id-val kezdődik</t>
  </si>
  <si>
    <t xml:space="preserve">not str(alk_id).startswith(str(kat_id))</t>
  </si>
  <si>
    <t xml:space="preserve">Ismert kivétel: 1 → 999</t>
  </si>
  <si>
    <t xml:space="preserve">V14</t>
  </si>
  <si>
    <t xml:space="preserve">*_akcios_*</t>
  </si>
  <si>
    <t xml:space="preserve">Akciós ár &gt; normál ár</t>
  </si>
  <si>
    <t xml:space="preserve">na &gt; nn or ka &gt; kb</t>
  </si>
  <si>
    <t xml:space="preserve">V15</t>
  </si>
  <si>
    <t xml:space="preserve">Akciós ár = normál ár (és &gt; 0)</t>
  </si>
  <si>
    <t xml:space="preserve">(0 &lt; na == nn) or (0 &lt; ka == kb)</t>
  </si>
  <si>
    <t xml:space="preserve">44853-100, 45315-100, 45315-200, 79009-090, M8167-010, MA411-016, Y2200-022</t>
  </si>
  <si>
    <t xml:space="preserve">V16</t>
  </si>
  <si>
    <t xml:space="preserve">Csak az egyik (nagyker / kisker) akciós ár &gt; 0</t>
  </si>
  <si>
    <t xml:space="preserve">(na &gt; 0) != (ka &gt; 0)</t>
  </si>
  <si>
    <t xml:space="preserve">43460-990</t>
  </si>
  <si>
    <t xml:space="preserve">V17</t>
  </si>
  <si>
    <t xml:space="preserve">Érvénytelen dátum ("0000-00-00 00:00:00")</t>
  </si>
  <si>
    <t xml:space="preserve">strptime hibát dob</t>
  </si>
  <si>
    <t xml:space="preserve">80020-002</t>
  </si>
  <si>
    <t xml:space="preserve">V18</t>
  </si>
  <si>
    <t xml:space="preserve">Karton térfogat = 0</t>
  </si>
  <si>
    <t xml:space="preserve">karton_terfogat == 0</t>
  </si>
  <si>
    <t xml:space="preserve">11057-699, 12049-063, 12049-064, 12049-066, 12049-067</t>
  </si>
  <si>
    <t xml:space="preserve">Megtartani (0)</t>
  </si>
  <si>
    <t xml:space="preserve">V19</t>
  </si>
  <si>
    <t xml:space="preserve">Karton súly = 0</t>
  </si>
  <si>
    <t xml:space="preserve">karton_suly == 0</t>
  </si>
  <si>
    <t xml:space="preserve">12049-063, 12049-064, 12049-066, 12049-067, 12049-068</t>
  </si>
  <si>
    <t xml:space="preserve">V20</t>
  </si>
  <si>
    <t xml:space="preserve">Minimális kisker mennyiség = 0</t>
  </si>
  <si>
    <t xml:space="preserve">min_mennyiseg_kisker == 0</t>
  </si>
  <si>
    <t xml:space="preserve">80126-165</t>
  </si>
  <si>
    <t xml:space="preserve">V21</t>
  </si>
  <si>
    <t xml:space="preserve">*_egysegar_*</t>
  </si>
  <si>
    <t xml:space="preserve">Egységár egysége == Kiszerelesi_egyseg</t>
  </si>
  <si>
    <t xml:space="preserve">unit(egysegar) == kiszerelesi_egyseg</t>
  </si>
  <si>
    <t xml:space="preserve">V22</t>
  </si>
  <si>
    <t xml:space="preserve">Egységár mezők pontosan akkor üresek, ha Kiszerelesi_egyseg üres</t>
  </si>
  <si>
    <t xml:space="preserve">bool(egysegar) == bool(kiszerelesi_egyseg)</t>
  </si>
  <si>
    <t xml:space="preserve">V23</t>
  </si>
  <si>
    <t xml:space="preserve">Sorrend: thumb, code, small, large, gallery1…N folytonosan</t>
  </si>
  <si>
    <t xml:space="preserve">ids[:4]==[thumb,code,small,large] and gallery folytonos</t>
  </si>
  <si>
    <t xml:space="preserve">Sémaváltozás → napló</t>
  </si>
  <si>
    <t xml:space="preserve">V24</t>
  </si>
  <si>
    <t xml:space="preserve">Kep thumb/small/gallery</t>
  </si>
  <si>
    <t xml:space="preserve">Főtermékenként azonos</t>
  </si>
  <si>
    <t xml:space="preserve">groupby(fotermek_id) → 1 különböző érték</t>
  </si>
  <si>
    <t xml:space="preserve">V25</t>
  </si>
  <si>
    <t xml:space="preserve">groupby(fotermek_id) → 1 különböző link</t>
  </si>
  <si>
    <t xml:space="preserve">fotermek_id 18489 (Forgo-… és Aprocikk-… link)</t>
  </si>
  <si>
    <t xml:space="preserve">fotermek dimenzióban az első</t>
  </si>
  <si>
    <t xml:space="preserve">V26</t>
  </si>
  <si>
    <t xml:space="preserve">Parameter/@id, Jellemzo/@id</t>
  </si>
  <si>
    <t xml:space="preserve">Terméken belül egyedi</t>
  </si>
  <si>
    <t xml:space="preserve">len(ids) == len(set(ids))</t>
  </si>
  <si>
    <t xml:space="preserve">PK sérülne → napló</t>
  </si>
  <si>
    <t xml:space="preserve">V27</t>
  </si>
  <si>
    <t xml:space="preserve">Jellemzo/@name</t>
  </si>
  <si>
    <t xml:space="preserve">Mindig üres</t>
  </si>
  <si>
    <t xml:space="preserve">name == ""</t>
  </si>
  <si>
    <t xml:space="preserve">Nem kerül át</t>
  </si>
  <si>
    <t xml:space="preserve">V28</t>
  </si>
  <si>
    <t xml:space="preserve">szöveges mezők</t>
  </si>
  <si>
    <t xml:space="preserve">Eleji/végi whitespace</t>
  </si>
  <si>
    <t xml:space="preserve">raw != raw.strip()</t>
  </si>
  <si>
    <t xml:space="preserve">10731-300, 11001-200, 11043-541, 11045-500, 11045-501</t>
  </si>
  <si>
    <t xml:space="preserve">V29</t>
  </si>
  <si>
    <t xml:space="preserve">Nem "DB"</t>
  </si>
  <si>
    <t xml:space="preserve">ertekesitesi_egyseg != "DB"</t>
  </si>
  <si>
    <t xml:space="preserve">99001-001</t>
  </si>
  <si>
    <t xml:space="preserve">Megtartani</t>
  </si>
  <si>
    <t xml:space="preserve">V30</t>
  </si>
  <si>
    <t xml:space="preserve">Kisker_brutto, Nagyker_netto</t>
  </si>
  <si>
    <t xml:space="preserve">Kisker nettó &lt; nagyker nettó (negatív árrés)</t>
  </si>
  <si>
    <t xml:space="preserve">kisker_brutto / 1.27 &lt; nagyker_netto</t>
  </si>
  <si>
    <t xml:space="preserve">12302-397, 12341-395, 12341-396, 12341-397, 80001-998</t>
  </si>
  <si>
    <t xml:space="preserve">V31</t>
  </si>
  <si>
    <t xml:space="preserve">URL extra paraméterrel vagy hibásan ("?feature=share")</t>
  </si>
  <si>
    <t xml:space="preserve">not re.fullmatch(r"https://(www\.)?youtube\.com/watch\?v=[\w-]{11}", url)</t>
  </si>
  <si>
    <t xml:space="preserve">20155-851 (…?feature=share)</t>
  </si>
  <si>
    <t xml:space="preserve">Videó id kinyerése: v= utáni 11 karakter</t>
  </si>
  <si>
    <t xml:space="preserve">V32</t>
  </si>
  <si>
    <t xml:space="preserve">Video, Video/@title</t>
  </si>
  <si>
    <t xml:space="preserve">URL és cím együtt kitöltött</t>
  </si>
  <si>
    <t xml:space="preserve">bool(video_url) == bool(video_cim)</t>
  </si>
  <si>
    <t xml:space="preserve">V33</t>
  </si>
  <si>
    <t xml:space="preserve">id → egyetlen név és kategória</t>
  </si>
  <si>
    <t xml:space="preserve">groupby(alk_id) → 1 (nev, kat_id)</t>
  </si>
  <si>
    <t xml:space="preserve">Dimenzió nem építhető → napló</t>
  </si>
  <si>
    <t xml:space="preserve">V34</t>
  </si>
  <si>
    <t xml:space="preserve">Keszleten, Alacsony_keszlet, Katalogus_info, Kiszerelesi_egyseg</t>
  </si>
  <si>
    <t xml:space="preserve">Értékkészlet a kodlistak lap szerinti</t>
  </si>
  <si>
    <t xml:space="preserve">value in KODLISTA[mezo]</t>
  </si>
  <si>
    <t xml:space="preserve">Új kód → napló, értesítés</t>
  </si>
  <si>
    <t xml:space="preserve">V35</t>
  </si>
  <si>
    <t xml:space="preserve">URL szóközt tartalmaz / nem JPG</t>
  </si>
  <si>
    <t xml:space="preserve">" " in url or not url.lower().endswith((".jpg",".png"))</t>
  </si>
  <si>
    <t xml:space="preserve">72151-420, 98015-843 (szóköz); 12049-110 (.WEBP)</t>
  </si>
  <si>
    <t xml:space="preserve">Letöltéskor urllib.parse.quote</t>
  </si>
  <si>
    <t xml:space="preserve">mezo</t>
  </si>
  <si>
    <t xml:space="preserve">darab</t>
  </si>
  <si>
    <t xml:space="preserve">arany</t>
  </si>
  <si>
    <t xml:space="preserve">jelentes</t>
  </si>
  <si>
    <t xml:space="preserve">készleten</t>
  </si>
  <si>
    <t xml:space="preserve">0</t>
  </si>
  <si>
    <t xml:space="preserve">nincs készleten</t>
  </si>
  <si>
    <t xml:space="preserve">2</t>
  </si>
  <si>
    <t xml:space="preserve">alacsony készlet</t>
  </si>
  <si>
    <t xml:space="preserve">nem alacsony</t>
  </si>
  <si>
    <t xml:space="preserve">(üres)</t>
  </si>
  <si>
    <t xml:space="preserve">N</t>
  </si>
  <si>
    <t xml:space="preserve">L</t>
  </si>
  <si>
    <t xml:space="preserve">liter</t>
  </si>
  <si>
    <t xml:space="preserve">KG</t>
  </si>
  <si>
    <t xml:space="preserve">kilogramm</t>
  </si>
  <si>
    <t xml:space="preserve">M</t>
  </si>
  <si>
    <t xml:space="preserve">méter</t>
  </si>
  <si>
    <t xml:space="preserve">G</t>
  </si>
  <si>
    <t xml:space="preserve">gramm</t>
  </si>
  <si>
    <t xml:space="preserve">ML</t>
  </si>
  <si>
    <t xml:space="preserve">milliliter</t>
  </si>
  <si>
    <t xml:space="preserve">CS</t>
  </si>
  <si>
    <t xml:space="preserve">csomag</t>
  </si>
  <si>
    <t xml:space="preserve">100DB</t>
  </si>
  <si>
    <t xml:space="preserve">100 darab</t>
  </si>
  <si>
    <t xml:space="preserve">DL</t>
  </si>
  <si>
    <t xml:space="preserve">deciliter</t>
  </si>
  <si>
    <t xml:space="preserve">kifutó termék</t>
  </si>
  <si>
    <t xml:space="preserve">57p_keszletcsokkentett_plecsni.png</t>
  </si>
  <si>
    <t xml:space="preserve">készletcsökkentett (kiárusítás)</t>
  </si>
  <si>
    <t xml:space="preserve">49p_MOHOSZ_etetoanyag_thumb.png</t>
  </si>
  <si>
    <t xml:space="preserve">MOHOSZ jelölés: etetoanyag</t>
  </si>
  <si>
    <t xml:space="preserve">47p_MOHOSZ_pergeto_horgaszbot_thumb.png</t>
  </si>
  <si>
    <t xml:space="preserve">MOHOSZ jelölés: pergeto</t>
  </si>
  <si>
    <t xml:space="preserve">48p_MOHOSZ_finomszerelekes_thumb.png</t>
  </si>
  <si>
    <t xml:space="preserve">MOHOSZ jelölés: finomszerelekes</t>
  </si>
  <si>
    <t xml:space="preserve">54p_efttex-bnp-badge-carpreel-winner.png</t>
  </si>
  <si>
    <t xml:space="preserve">EFTTEX Best New Product díjas</t>
  </si>
  <si>
    <t xml:space="preserve">55p_efttex-bnp-badge-apparel-sunglasses-winner.png</t>
  </si>
  <si>
    <t xml:space="preserve">50p_MOHOSZ_elektronikai_thumb.png</t>
  </si>
  <si>
    <t xml:space="preserve">MOHOSZ jelölés: elektronikai</t>
  </si>
  <si>
    <t xml:space="preserve">57s_keszletcsokkentett_plecsni.png</t>
  </si>
  <si>
    <t xml:space="preserve">53s_efttex-bnp-badge-spinning-metal-lure-winner.png</t>
  </si>
  <si>
    <t xml:space="preserve">49s_MOHOSZ_etetoanyag_thumb.png</t>
  </si>
  <si>
    <t xml:space="preserve">47s_MOHOSZ_pergeto_horgaszbot_thumb.png</t>
  </si>
  <si>
    <t xml:space="preserve">48s_MOHOSZ_finomszerelekes_thumb.png</t>
  </si>
  <si>
    <t xml:space="preserve">54s_efttex-bnp-badge-carpreel-winner.png</t>
  </si>
  <si>
    <t xml:space="preserve">55s_efttex-bnp-badge-apparel-sunglasses-winner.png</t>
  </si>
  <si>
    <t xml:space="preserve">50s_MOHOSZ_elektronikai_thumb.png</t>
  </si>
  <si>
    <t xml:space="preserve">3</t>
  </si>
  <si>
    <t xml:space="preserve">4</t>
  </si>
  <si>
    <t xml:space="preserve">5</t>
  </si>
  <si>
    <t xml:space="preserve">10</t>
  </si>
  <si>
    <t xml:space="preserve">12</t>
  </si>
  <si>
    <t xml:space="preserve">20</t>
  </si>
  <si>
    <t xml:space="preserve">25</t>
  </si>
  <si>
    <t xml:space="preserve">48</t>
  </si>
  <si>
    <t xml:space="preserve">50</t>
  </si>
  <si>
    <t xml:space="preserve">500</t>
  </si>
  <si>
    <t xml:space="preserve">1000</t>
  </si>
  <si>
    <t xml:space="preserve">Kep/@id</t>
  </si>
  <si>
    <t xml:space="preserve">thumb</t>
  </si>
  <si>
    <t xml:space="preserve">bélyegkép, főtermék-szintű (nem üres: 12 410)</t>
  </si>
  <si>
    <t xml:space="preserve">code</t>
  </si>
  <si>
    <t xml:space="preserve">variáns képe (nem üres: 6 007)</t>
  </si>
  <si>
    <t xml:space="preserve">small</t>
  </si>
  <si>
    <t xml:space="preserve">kis kép, főtermék-szintű (nem üres: 12 411)</t>
  </si>
  <si>
    <t xml:space="preserve">large</t>
  </si>
  <si>
    <t xml:space="preserve">nagy kép, variáns-szintű (nem üres: 5 629)</t>
  </si>
  <si>
    <t xml:space="preserve">gallery1 … gallery64</t>
  </si>
  <si>
    <t xml:space="preserve">galériakép, főtermék-szintű; a darab = legalább 1 galériaképes termék; max 64 kép</t>
  </si>
  <si>
    <t xml:space="preserve">Alap</t>
  </si>
  <si>
    <t xml:space="preserve">Ajándéktárgyak</t>
  </si>
  <si>
    <t xml:space="preserve">Ajándéktárgy</t>
  </si>
  <si>
    <t xml:space="preserve">HALAS PÁRNA</t>
  </si>
  <si>
    <t xml:space="preserve">Akció</t>
  </si>
  <si>
    <t xml:space="preserve">Akciók, szettek</t>
  </si>
  <si>
    <t xml:space="preserve">Kapcsolt termékek</t>
  </si>
  <si>
    <t xml:space="preserve">Botok</t>
  </si>
  <si>
    <t xml:space="preserve">Rakós</t>
  </si>
  <si>
    <t xml:space="preserve">Spicc</t>
  </si>
  <si>
    <t xml:space="preserve">Bolognai bot</t>
  </si>
  <si>
    <t xml:space="preserve">Match</t>
  </si>
  <si>
    <t xml:space="preserve">Feeder, picker</t>
  </si>
  <si>
    <t xml:space="preserve">Bojlis</t>
  </si>
  <si>
    <t xml:space="preserve">Általános 2-3 részes</t>
  </si>
  <si>
    <t xml:space="preserve">Általános teleszkópos</t>
  </si>
  <si>
    <t xml:space="preserve">Pergető</t>
  </si>
  <si>
    <t xml:space="preserve">Harcsázó</t>
  </si>
  <si>
    <t xml:space="preserve">Lékhorgász</t>
  </si>
  <si>
    <t xml:space="preserve">Orsók</t>
  </si>
  <si>
    <t xml:space="preserve">Pergető orsó</t>
  </si>
  <si>
    <t xml:space="preserve">Általános orsó</t>
  </si>
  <si>
    <t xml:space="preserve">Feeder orsó</t>
  </si>
  <si>
    <t xml:space="preserve">Nyeletőfékes orsó</t>
  </si>
  <si>
    <t xml:space="preserve">Távdobó orsó</t>
  </si>
  <si>
    <t xml:space="preserve">Bolognai</t>
  </si>
  <si>
    <t xml:space="preserve">Zsinórok</t>
  </si>
  <si>
    <t xml:space="preserve">Fonott Pergető</t>
  </si>
  <si>
    <t xml:space="preserve">Fonott-univerzális</t>
  </si>
  <si>
    <t xml:space="preserve">Fonott-bojlis előke</t>
  </si>
  <si>
    <t xml:space="preserve">Monofil pergető</t>
  </si>
  <si>
    <t xml:space="preserve">Monofil pontyozó</t>
  </si>
  <si>
    <t xml:space="preserve">Monofil feeder-match</t>
  </si>
  <si>
    <t xml:space="preserve">Monofil általános</t>
  </si>
  <si>
    <t xml:space="preserve">Nagyhalas</t>
  </si>
  <si>
    <t xml:space="preserve">Monofil előke</t>
  </si>
  <si>
    <t xml:space="preserve">Fluorocarbon</t>
  </si>
  <si>
    <t xml:space="preserve">Horgok</t>
  </si>
  <si>
    <t xml:space="preserve">Pontyozó</t>
  </si>
  <si>
    <t xml:space="preserve">Feeder</t>
  </si>
  <si>
    <t xml:space="preserve">Keszegező</t>
  </si>
  <si>
    <t xml:space="preserve">Süllőző</t>
  </si>
  <si>
    <t xml:space="preserve">Pergető - offset</t>
  </si>
  <si>
    <t xml:space="preserve">Kötött</t>
  </si>
  <si>
    <t xml:space="preserve">Fonott zsinóros kötött</t>
  </si>
  <si>
    <t xml:space="preserve">Háromágú</t>
  </si>
  <si>
    <t xml:space="preserve">Ólmok</t>
  </si>
  <si>
    <t xml:space="preserve">Bordás etetőkosár</t>
  </si>
  <si>
    <t xml:space="preserve">Spirál etetőkosár</t>
  </si>
  <si>
    <t xml:space="preserve">Zárt Feeder kosár</t>
  </si>
  <si>
    <t xml:space="preserve">Method kosár</t>
  </si>
  <si>
    <t xml:space="preserve">Egyéb etetőkosár</t>
  </si>
  <si>
    <t xml:space="preserve">Apróólom</t>
  </si>
  <si>
    <t xml:space="preserve">Végólom</t>
  </si>
  <si>
    <t xml:space="preserve">Csúszóólom</t>
  </si>
  <si>
    <t xml:space="preserve">Bojlisólom</t>
  </si>
  <si>
    <t xml:space="preserve">Rablósólom</t>
  </si>
  <si>
    <t xml:space="preserve">Ólomkészlet</t>
  </si>
  <si>
    <t xml:space="preserve">Speciális ólom</t>
  </si>
  <si>
    <t xml:space="preserve">Úszók</t>
  </si>
  <si>
    <t xml:space="preserve">Folyóvízi</t>
  </si>
  <si>
    <t xml:space="preserve">Verseny</t>
  </si>
  <si>
    <t xml:space="preserve">Sneciző</t>
  </si>
  <si>
    <t xml:space="preserve">Univerzális</t>
  </si>
  <si>
    <t xml:space="preserve">Világítópatronos</t>
  </si>
  <si>
    <t xml:space="preserve">Rablóhalas</t>
  </si>
  <si>
    <t xml:space="preserve">Speciális</t>
  </si>
  <si>
    <t xml:space="preserve">Versenykellékek</t>
  </si>
  <si>
    <t xml:space="preserve">Versenyláda</t>
  </si>
  <si>
    <t xml:space="preserve">Versenyláda-tartozékok</t>
  </si>
  <si>
    <t xml:space="preserve">Egyéb kiegészítő</t>
  </si>
  <si>
    <t xml:space="preserve">Műanyag dobozok</t>
  </si>
  <si>
    <t xml:space="preserve">Szerelékes láda</t>
  </si>
  <si>
    <t xml:space="preserve">Műcsalis-aprócikkes</t>
  </si>
  <si>
    <t xml:space="preserve">Horgos</t>
  </si>
  <si>
    <t xml:space="preserve">Úszótartó</t>
  </si>
  <si>
    <t xml:space="preserve">Csalitároló</t>
  </si>
  <si>
    <t xml:space="preserve">Vödör-halaskanna</t>
  </si>
  <si>
    <t xml:space="preserve">Egyéb doboz</t>
  </si>
  <si>
    <t xml:space="preserve">Hálók</t>
  </si>
  <si>
    <t xml:space="preserve">Versenymerítő</t>
  </si>
  <si>
    <t xml:space="preserve">Pontyozó merítő</t>
  </si>
  <si>
    <t xml:space="preserve">Általános merítő</t>
  </si>
  <si>
    <t xml:space="preserve">Merítőnyél</t>
  </si>
  <si>
    <t xml:space="preserve">Verseny haltartó</t>
  </si>
  <si>
    <t xml:space="preserve">Karikás haltartó</t>
  </si>
  <si>
    <t xml:space="preserve">Zsákos haltartó</t>
  </si>
  <si>
    <t xml:space="preserve">Drótszák</t>
  </si>
  <si>
    <t xml:space="preserve">Csalihalfogó</t>
  </si>
  <si>
    <t xml:space="preserve">Szék-ernyő</t>
  </si>
  <si>
    <t xml:space="preserve">Szék</t>
  </si>
  <si>
    <t xml:space="preserve">Fotel</t>
  </si>
  <si>
    <t xml:space="preserve">Ágy</t>
  </si>
  <si>
    <t xml:space="preserve">Sátor, hálózsák</t>
  </si>
  <si>
    <t xml:space="preserve">Ernyő</t>
  </si>
  <si>
    <t xml:space="preserve">Egyéb</t>
  </si>
  <si>
    <t xml:space="preserve">Táska-botzsák</t>
  </si>
  <si>
    <t xml:space="preserve">Botzsák</t>
  </si>
  <si>
    <t xml:space="preserve">Hátizsák</t>
  </si>
  <si>
    <t xml:space="preserve">Pergetőtáska</t>
  </si>
  <si>
    <t xml:space="preserve">Száktartó</t>
  </si>
  <si>
    <t xml:space="preserve">Egyéb táska</t>
  </si>
  <si>
    <t xml:space="preserve">EVA Táskák</t>
  </si>
  <si>
    <t xml:space="preserve">Ruházat</t>
  </si>
  <si>
    <t xml:space="preserve">Nyári</t>
  </si>
  <si>
    <t xml:space="preserve">Téli</t>
  </si>
  <si>
    <t xml:space="preserve">Napszemüveg</t>
  </si>
  <si>
    <t xml:space="preserve">Gumicsizma</t>
  </si>
  <si>
    <t xml:space="preserve">Neoprene</t>
  </si>
  <si>
    <t xml:space="preserve">Csónak, csónakmotor</t>
  </si>
  <si>
    <t xml:space="preserve">Motor</t>
  </si>
  <si>
    <t xml:space="preserve">Felszerelés</t>
  </si>
  <si>
    <t xml:space="preserve">Mentőmellény</t>
  </si>
  <si>
    <t xml:space="preserve">Kiegészítők</t>
  </si>
  <si>
    <t xml:space="preserve">Bojli</t>
  </si>
  <si>
    <t xml:space="preserve">PVA Termékek</t>
  </si>
  <si>
    <t xml:space="preserve">Feeder kiegészítő</t>
  </si>
  <si>
    <t xml:space="preserve">Mérleg</t>
  </si>
  <si>
    <t xml:space="preserve">Halradar</t>
  </si>
  <si>
    <t xml:space="preserve">Etetőhajó</t>
  </si>
  <si>
    <t xml:space="preserve">Fejlámpa</t>
  </si>
  <si>
    <t xml:space="preserve">Egyéb lámpa</t>
  </si>
  <si>
    <t xml:space="preserve">Elem-akku</t>
  </si>
  <si>
    <t xml:space="preserve">Kemping gáz</t>
  </si>
  <si>
    <t xml:space="preserve">Jégfúrók</t>
  </si>
  <si>
    <t xml:space="preserve">Kés</t>
  </si>
  <si>
    <t xml:space="preserve">Fogó</t>
  </si>
  <si>
    <t xml:space="preserve">Szúnyogriasztó</t>
  </si>
  <si>
    <t xml:space="preserve">Halvédelem</t>
  </si>
  <si>
    <t xml:space="preserve">Bottartók</t>
  </si>
  <si>
    <t xml:space="preserve">Rod-podok, Tripodok</t>
  </si>
  <si>
    <t xml:space="preserve">Általános leszúró</t>
  </si>
  <si>
    <t xml:space="preserve">Villafejek</t>
  </si>
  <si>
    <t xml:space="preserve">Csalizó</t>
  </si>
  <si>
    <t xml:space="preserve">Kereszttartók</t>
  </si>
  <si>
    <t xml:space="preserve">Kapásjelzők</t>
  </si>
  <si>
    <t xml:space="preserve">Elektromos</t>
  </si>
  <si>
    <t xml:space="preserve">Világító kapásjelző</t>
  </si>
  <si>
    <t xml:space="preserve">Swinger</t>
  </si>
  <si>
    <t xml:space="preserve">Karika</t>
  </si>
  <si>
    <t xml:space="preserve">Cső</t>
  </si>
  <si>
    <t xml:space="preserve">Nyelv</t>
  </si>
  <si>
    <t xml:space="preserve">Vizigolyó</t>
  </si>
  <si>
    <t xml:space="preserve">Csörgős</t>
  </si>
  <si>
    <t xml:space="preserve">Szerelékek</t>
  </si>
  <si>
    <t xml:space="preserve">Zsebpeca</t>
  </si>
  <si>
    <t xml:space="preserve">Fenekező</t>
  </si>
  <si>
    <t xml:space="preserve">Rablós</t>
  </si>
  <si>
    <t xml:space="preserve">Aprócikk</t>
  </si>
  <si>
    <t xml:space="preserve">Világítópatron</t>
  </si>
  <si>
    <t xml:space="preserve">Csúzli</t>
  </si>
  <si>
    <t xml:space="preserve">Előketartó</t>
  </si>
  <si>
    <t xml:space="preserve">Úszórögzítő</t>
  </si>
  <si>
    <t xml:space="preserve">Előkerögzítő</t>
  </si>
  <si>
    <t xml:space="preserve">Spiccbotos</t>
  </si>
  <si>
    <t xml:space="preserve">Horogszabadító</t>
  </si>
  <si>
    <t xml:space="preserve">Horogkötő</t>
  </si>
  <si>
    <t xml:space="preserve">Forgó</t>
  </si>
  <si>
    <t xml:space="preserve">Általános</t>
  </si>
  <si>
    <t xml:space="preserve">Forgókapocs</t>
  </si>
  <si>
    <t xml:space="preserve">T-forgó</t>
  </si>
  <si>
    <t xml:space="preserve">Kapcsok</t>
  </si>
  <si>
    <t xml:space="preserve">Ragadozóhalas Aprócikk</t>
  </si>
  <si>
    <t xml:space="preserve">Drótelőke</t>
  </si>
  <si>
    <t xml:space="preserve">Kevlar, wolfram</t>
  </si>
  <si>
    <t xml:space="preserve">Bilincs</t>
  </si>
  <si>
    <t xml:space="preserve">Kishalfűzőtű</t>
  </si>
  <si>
    <t xml:space="preserve">Vágóhorog</t>
  </si>
  <si>
    <t xml:space="preserve">Kuttyogató</t>
  </si>
  <si>
    <t xml:space="preserve">Wobbler</t>
  </si>
  <si>
    <t xml:space="preserve">Támolygó villantó</t>
  </si>
  <si>
    <t xml:space="preserve">Körforgó villantó</t>
  </si>
  <si>
    <t xml:space="preserve">Twister</t>
  </si>
  <si>
    <t xml:space="preserve">Twisterfej</t>
  </si>
  <si>
    <t xml:space="preserve">Műlégy</t>
  </si>
  <si>
    <t xml:space="preserve">Pilker</t>
  </si>
  <si>
    <t xml:space="preserve">Rablóhalas szett</t>
  </si>
  <si>
    <t xml:space="preserve">Cheburashka</t>
  </si>
  <si>
    <t xml:space="preserve">Egyéb műcsalik</t>
  </si>
  <si>
    <t xml:space="preserve">Alkatrész</t>
  </si>
  <si>
    <t xml:space="preserve">Gyűrű</t>
  </si>
  <si>
    <t xml:space="preserve">Tag, Spicc</t>
  </si>
  <si>
    <t xml:space="preserve">Jelzőspicc</t>
  </si>
  <si>
    <t xml:space="preserve">Parafa</t>
  </si>
  <si>
    <t xml:space="preserve">Orsóalkatrész</t>
  </si>
  <si>
    <t xml:space="preserve">Egyéb alkatrész</t>
  </si>
  <si>
    <t xml:space="preserve">Promóciós termékek</t>
  </si>
  <si>
    <t xml:space="preserve">Bottartó állvány</t>
  </si>
  <si>
    <t xml:space="preserve">Perfor. tábla-kampó</t>
  </si>
  <si>
    <t xml:space="preserve">Bemutató tábla</t>
  </si>
  <si>
    <t xml:space="preserve">Táskák, matricák, zászlók</t>
  </si>
  <si>
    <t xml:space="preserve">Könyv-újság, horgásztérkép</t>
  </si>
  <si>
    <t xml:space="preserve">Video-dvd</t>
  </si>
  <si>
    <t xml:space="preserve">Csalik</t>
  </si>
  <si>
    <t xml:space="preserve">Szemes horogravaló</t>
  </si>
  <si>
    <t xml:space="preserve">Horog bojli</t>
  </si>
  <si>
    <t xml:space="preserve">Horog pellet</t>
  </si>
  <si>
    <t xml:space="preserve">Mesterséges horogcsali</t>
  </si>
  <si>
    <t xml:space="preserve">Horogpaszták</t>
  </si>
  <si>
    <t xml:space="preserve">Általános etetőanyag</t>
  </si>
  <si>
    <t xml:space="preserve">Adalék</t>
  </si>
  <si>
    <t xml:space="preserve">Csaliragasztók</t>
  </si>
  <si>
    <t xml:space="preserve">Mag-mix</t>
  </si>
  <si>
    <t xml:space="preserve">Pellet</t>
  </si>
  <si>
    <t xml:space="preserve">Folyadék aroma</t>
  </si>
  <si>
    <t xml:space="preserve">Por aroma</t>
  </si>
  <si>
    <t xml:space="preserve">Élőcsali</t>
  </si>
  <si>
    <t xml:space="preserve">Tómonitoring</t>
  </si>
  <si>
    <t xml:space="preserve">Főegységek</t>
  </si>
  <si>
    <t xml:space="preserve">javasolt_oszlopnev</t>
  </si>
  <si>
    <t xml:space="preserve">leggyakoribb_ertekek (db)</t>
  </si>
  <si>
    <t xml:space="preserve">Átmérő</t>
  </si>
  <si>
    <t xml:space="preserve">param_atmero</t>
  </si>
  <si>
    <t xml:space="preserve">0,25 mm (91); 0,20 mm (82); 0,30 mm (79); 0,35 mm (68); 0,40 mm (51)</t>
  </si>
  <si>
    <t xml:space="preserve">Áttétel</t>
  </si>
  <si>
    <t xml:space="preserve">param_attetel</t>
  </si>
  <si>
    <t xml:space="preserve">5,2:1 (33); 5.1:1 (11); 4,1:1 (10); 5.2:1 (9); 5,0:1 (7)</t>
  </si>
  <si>
    <t xml:space="preserve">Antenna</t>
  </si>
  <si>
    <t xml:space="preserve">param_antenna</t>
  </si>
  <si>
    <t xml:space="preserve">Cserélhető (111); Fix (85); műanyag (80); Műanyag (30); Üveg (25)</t>
  </si>
  <si>
    <t xml:space="preserve">Anyaga</t>
  </si>
  <si>
    <t xml:space="preserve">param_anyaga</t>
  </si>
  <si>
    <t xml:space="preserve">Balsa (302); Ólom (186); PU (136); Ólom + műanyag (115); Műanyag (96)</t>
  </si>
  <si>
    <t xml:space="preserve">Cikkszám</t>
  </si>
  <si>
    <t xml:space="preserve">param_cikkszam</t>
  </si>
  <si>
    <t xml:space="preserve">10000-327 (1); 10000-328 (1); 10000-330 (1); 10000-335 (1); 10000-341 (1)</t>
  </si>
  <si>
    <t xml:space="preserve">Mindig jelen, = CikkszamK (redundáns).</t>
  </si>
  <si>
    <t xml:space="preserve">Csapágy</t>
  </si>
  <si>
    <t xml:space="preserve">param_csapagy</t>
  </si>
  <si>
    <t xml:space="preserve">5+1 (37); 7+1 (26); 3+1 (9); 6+1 (8); 1 (6)</t>
  </si>
  <si>
    <t xml:space="preserve">Dobósúly</t>
  </si>
  <si>
    <t xml:space="preserve">param_dobosuly</t>
  </si>
  <si>
    <t xml:space="preserve">5-20 g (17); 3,5 lbs (16); 5-35 g (12); 40-80 g (10); 10-30 g (10)</t>
  </si>
  <si>
    <t xml:space="preserve">param_egyeb</t>
  </si>
  <si>
    <t xml:space="preserve">Cyprinus carpio (6); Esox lucius (3); Sander lucioperca (3); Thunnus thynnus (3); Ctenopharyngodon idella (3)</t>
  </si>
  <si>
    <t xml:space="preserve">Elosztása</t>
  </si>
  <si>
    <t xml:space="preserve">param_elosztasa</t>
  </si>
  <si>
    <t xml:space="preserve">2 rekeszes (16); 3 rekeszes (10); 3 bothoz (3); 3 tálcás kivitel (2); Fix tálcákkal (2)</t>
  </si>
  <si>
    <t xml:space="preserve">Erőforrás</t>
  </si>
  <si>
    <t xml:space="preserve">param_eroforras</t>
  </si>
  <si>
    <t xml:space="preserve">2,5 mm standard csatlakozó (12); 211 elem (12); 9V elem (8); 311 elem (5); 435 elem (4)</t>
  </si>
  <si>
    <t xml:space="preserve">Fékrendszer</t>
  </si>
  <si>
    <t xml:space="preserve">param_fekrendszer</t>
  </si>
  <si>
    <t xml:space="preserve">Elsőfék (81); Elsőfék + Nyeletőfék (14); Elsőfék + nyeletőfék (5); Első gyorsfék (4); FD és nyeletőfék (2)</t>
  </si>
  <si>
    <t xml:space="preserve">Felület</t>
  </si>
  <si>
    <t xml:space="preserve">param_felulet</t>
  </si>
  <si>
    <t xml:space="preserve">Natúr (135); Színezett (78); Festett (54); Szinterezett (33); Fekete szinter (29)</t>
  </si>
  <si>
    <t xml:space="preserve">Hatótávolság</t>
  </si>
  <si>
    <t xml:space="preserve">param_hatotavolsag</t>
  </si>
  <si>
    <t xml:space="preserve">150-200 m (3); 20-30 m (2); 200 m (1); 60 - 70 m (1); 50-60 m távolságig (1)</t>
  </si>
  <si>
    <t xml:space="preserve">Horogméret</t>
  </si>
  <si>
    <t xml:space="preserve">param_horogmeret</t>
  </si>
  <si>
    <t xml:space="preserve">No. 8 (81); No. 4 (61); No. 10 (38); No. 6 (32); 1/0 (29)</t>
  </si>
  <si>
    <t xml:space="preserve">Hossz</t>
  </si>
  <si>
    <t xml:space="preserve">param_hossz</t>
  </si>
  <si>
    <t xml:space="preserve">300 m (188); 150 m (160); 50 m (103); 600 m (81); 10 m (61)</t>
  </si>
  <si>
    <t xml:space="preserve">Jellemző</t>
  </si>
  <si>
    <t xml:space="preserve">param_jellemzo</t>
  </si>
  <si>
    <t xml:space="preserve">M1 (40); M4 (29); Strawberry Jam (28); C1 (27); Ace Lobworm (26)</t>
  </si>
  <si>
    <t xml:space="preserve">Kiszerelés</t>
  </si>
  <si>
    <t xml:space="preserve">param_kiszereles</t>
  </si>
  <si>
    <t xml:space="preserve">10 db/csomag (689); 3 db/csomag (318); 5 db/csomag (310); 1 kg (304); 6 db/csomag (297)</t>
  </si>
  <si>
    <t xml:space="preserve">Kiszerelés szövegesen ("10 db/csomag") – az egységár szorzója innen olvasható ki.</t>
  </si>
  <si>
    <t xml:space="preserve">Kivitel</t>
  </si>
  <si>
    <t xml:space="preserve">param_kivitel</t>
  </si>
  <si>
    <t xml:space="preserve">Csúszó (229); Fix (173); Forgós (73); Inline (63); Füles (39)</t>
  </si>
  <si>
    <t xml:space="preserve">param_meret</t>
  </si>
  <si>
    <t xml:space="preserve">2 (219); 8 (210); 4 (201); 5 cm (199); 6 (197)</t>
  </si>
  <si>
    <t xml:space="preserve">Max LE</t>
  </si>
  <si>
    <t xml:space="preserve">param_max_le</t>
  </si>
  <si>
    <t xml:space="preserve">66 lbs (1)</t>
  </si>
  <si>
    <t xml:space="preserve">Merülési szint (m)</t>
  </si>
  <si>
    <t xml:space="preserve">param_merulesi_szint_m</t>
  </si>
  <si>
    <t xml:space="preserve">1 m (101); 0,5 m (62); 1,5 m (56); 2 m (42); 1,8/3,4m (30)</t>
  </si>
  <si>
    <t xml:space="preserve">A név tartalmazza a mértékegységet.</t>
  </si>
  <si>
    <t xml:space="preserve">Nyél tag</t>
  </si>
  <si>
    <t xml:space="preserve">param_nyel_tag</t>
  </si>
  <si>
    <t xml:space="preserve">1 (4); 2 (4); Full karbon (3); 180 cm 2 részes (1); 3 (1)</t>
  </si>
  <si>
    <t xml:space="preserve">Orsódob</t>
  </si>
  <si>
    <t xml:space="preserve">param_orsodob</t>
  </si>
  <si>
    <t xml:space="preserve">Alumínium (53); Alumínium + Grafit pótdob (22); Grafit (10); Fém (4); Könnyített fém (2)</t>
  </si>
  <si>
    <t xml:space="preserve">Orsóház anyaga</t>
  </si>
  <si>
    <t xml:space="preserve">param_orsohaz_anyaga</t>
  </si>
  <si>
    <t xml:space="preserve">Grafit (103); Fém (4); Extra szilárdságú grafit (2)</t>
  </si>
  <si>
    <t xml:space="preserve">Súly</t>
  </si>
  <si>
    <t xml:space="preserve">param_suly</t>
  </si>
  <si>
    <t xml:space="preserve">3 g (98); 7 g (98); 8 g (92); 10 g (87); 14 g (81)</t>
  </si>
  <si>
    <t xml:space="preserve">Szállítási méret</t>
  </si>
  <si>
    <t xml:space="preserve">param_szallitasi_meret</t>
  </si>
  <si>
    <t xml:space="preserve">126 cm (35); 125 cm (23); 137 cm (18); 136 cm (18); 127 cm (14)</t>
  </si>
  <si>
    <t xml:space="preserve">Szár</t>
  </si>
  <si>
    <t xml:space="preserve">param_szar</t>
  </si>
  <si>
    <t xml:space="preserve">Üvegszál (186); műanyag (80); üveg (33); Műanyag (26); Acél (22)</t>
  </si>
  <si>
    <t xml:space="preserve">Szín</t>
  </si>
  <si>
    <t xml:space="preserve">param_szin</t>
  </si>
  <si>
    <t xml:space="preserve">BN (169); Fekete (143); Transzparens (115); Piros (102); Sárga (94)</t>
  </si>
  <si>
    <t xml:space="preserve">Szakítószilárdság</t>
  </si>
  <si>
    <t xml:space="preserve">param_szakitoszilardsag</t>
  </si>
  <si>
    <t xml:space="preserve">6,5 kg (18); 15 kg (13); 9 kg (11); 14,90 kg (10); 6 kg (10)</t>
  </si>
  <si>
    <t xml:space="preserve">Típus</t>
  </si>
  <si>
    <t xml:space="preserve">param_tipus</t>
  </si>
  <si>
    <t xml:space="preserve">Ball Jig Head (121); SHAD (50); Master (43); Micro jig (40); Legend Jig (34)</t>
  </si>
  <si>
    <t xml:space="preserve">Tagok száma</t>
  </si>
  <si>
    <t xml:space="preserve">param_tagok_szama</t>
  </si>
  <si>
    <t xml:space="preserve">2 (171); 3+3 (49); 3 (38); 6 (21); 3+2 (20)</t>
  </si>
  <si>
    <t xml:space="preserve">Tartalom</t>
  </si>
  <si>
    <t xml:space="preserve">param_tartalom</t>
  </si>
  <si>
    <t xml:space="preserve">Fejlámpa + Töltőkábel (6); Radar, vezeték nélküli szonár + kiegészítők (2); Radar, vezetékes szonár, vezeték nélküli szonár + kiegészítők (2); Radar, vezetékes szonár + kiegészítők (2); Lámpa + USB kábel (2)</t>
  </si>
  <si>
    <t xml:space="preserve">Terhelhetőség</t>
  </si>
  <si>
    <t xml:space="preserve">param_terhelhetoseg</t>
  </si>
  <si>
    <t xml:space="preserve">50 kg (6); 9 kg (6); 70 kg (5); 90 kg (5); 60 kg (4)</t>
  </si>
  <si>
    <t xml:space="preserve">Változat</t>
  </si>
  <si>
    <t xml:space="preserve">param_valtozat</t>
  </si>
  <si>
    <t xml:space="preserve">Úszó (302); Szakállas (232); Süllyedő (134); Szakáll nélküli (61); Crab-sós íz (53)</t>
  </si>
  <si>
    <t xml:space="preserve">Zsinórkapacitás</t>
  </si>
  <si>
    <t xml:space="preserve">param_zsinorkapacitas</t>
  </si>
  <si>
    <t xml:space="preserve">200 m / 0.20 mm (4); 0,25 mm / 200 m (4); 0,25 mm / 245 m (4); 0,18 mm / 240 m (3); 0,28 mm / 175 m (3)</t>
  </si>
  <si>
    <t xml:space="preserve">Ízesítés</t>
  </si>
  <si>
    <t xml:space="preserve">param_izesites</t>
  </si>
  <si>
    <t xml:space="preserve">Mangó (37); Ananász (32); Fokhagyma (28); Eper (24); Méz (20)</t>
  </si>
  <si>
    <t xml:space="preserve">param_akcio</t>
  </si>
  <si>
    <t xml:space="preserve">B (113); Fast (17); C (16); Regular (6); L (5)</t>
  </si>
  <si>
    <t xml:space="preserve">A BOT AKCIÓJA (Fast, B, C, UL…), NEM árakció.</t>
  </si>
  <si>
    <t xml:space="preserve">minta_cikkszam_k</t>
  </si>
  <si>
    <t xml:space="preserve">sor</t>
  </si>
  <si>
    <t xml:space="preserve">behuzas_tab</t>
  </si>
  <si>
    <t xml:space="preserve">xml_sor (a vezető tabok nélkül)</t>
  </si>
  <si>
    <t xml:space="preserve">&lt;Termek&gt;</t>
  </si>
  <si>
    <t xml:space="preserve">&lt;Cikkszam&gt;10000327&lt;/Cikkszam&gt;</t>
  </si>
  <si>
    <t xml:space="preserve">&lt;CikkszamK&gt;10000-327&lt;/CikkszamK&gt;</t>
  </si>
  <si>
    <t xml:space="preserve">&lt;Termeknev&gt;&lt;![CDATA[CRAB RED 12CM]]&gt;&lt;/Termeknev&gt;</t>
  </si>
  <si>
    <t xml:space="preserve">&lt;Fotermek id="24021"&gt;&lt;![CDATA[WIZARD CRAB]]&gt;&lt;/Fotermek&gt;</t>
  </si>
  <si>
    <t xml:space="preserve">&lt;Termek_link&gt;https://energofish.hu/product.php/Mucsali-WIZARD-CRAB/24021/&lt;/Termek_link&gt;</t>
  </si>
  <si>
    <t xml:space="preserve">&lt;Vonalkod&gt;5999018248267&lt;/Vonalkod&gt;</t>
  </si>
  <si>
    <t xml:space="preserve">&lt;Vonalkod2&gt;&lt;/Vonalkod2&gt;</t>
  </si>
  <si>
    <t xml:space="preserve">&lt;VTSZ_SZJ&gt;95079000&lt;/VTSZ_SZJ&gt;</t>
  </si>
  <si>
    <t xml:space="preserve">&lt;Kategoria id="210"&gt;&lt;![CDATA[Műcsali]]&gt;&lt;/Kategoria&gt;</t>
  </si>
  <si>
    <t xml:space="preserve">&lt;Alkategoria id="210040"&gt;&lt;![CDATA[Gumihal]]&gt;&lt;/Alkategoria&gt;</t>
  </si>
  <si>
    <t xml:space="preserve">&lt;Marka_gyarto&gt;&lt;![CDATA[Arno]]&gt;&lt;/Marka_gyarto&gt;</t>
  </si>
  <si>
    <t xml:space="preserve">&lt;Nagyker_netto&gt;395&lt;/Nagyker_netto&gt;</t>
  </si>
  <si>
    <t xml:space="preserve">&lt;Nagyker_akcios_netto&gt;320&lt;/Nagyker_akcios_netto&gt;</t>
  </si>
  <si>
    <t xml:space="preserve">&lt;Kisker_brutto&gt;690&lt;/Kisker_brutto&gt;</t>
  </si>
  <si>
    <t xml:space="preserve">&lt;Kisker_akcios_brutto&gt;530&lt;/Kisker_akcios_brutto&gt;</t>
  </si>
  <si>
    <t xml:space="preserve">&lt;Min_mennyiseg_nagyker&gt;1&lt;/Min_mennyiseg_nagyker&gt;</t>
  </si>
  <si>
    <t xml:space="preserve">&lt;Min_mennyiseg_kisker&gt;1&lt;/Min_mennyiseg_kisker&gt;</t>
  </si>
  <si>
    <t xml:space="preserve">&lt;KartonMennyiseg&gt;24&lt;/KartonMennyiseg&gt;</t>
  </si>
  <si>
    <t xml:space="preserve">&lt;KartonSuly&gt;1.2000&lt;/KartonSuly&gt;</t>
  </si>
  <si>
    <t xml:space="preserve">&lt;KartonTerfogat&gt;0.0090&lt;/KartonTerfogat&gt;</t>
  </si>
  <si>
    <t xml:space="preserve">&lt;Letrehozas_datuma&gt;2024-11-11 07:32:44&lt;/Letrehozas_datuma&gt;</t>
  </si>
  <si>
    <t xml:space="preserve">&lt;Keszleten&gt;1&lt;/Keszleten&gt;</t>
  </si>
  <si>
    <t xml:space="preserve">&lt;Termekleiras&gt;&lt;![CDATA[&lt;p&gt;	Wizard Crab &lt;/p&gt;&lt;p&gt;	Egyedi rákutánzat, melyet a legtöbb ragadozó szívesen fogyaszt. &lt;/p&gt;&lt;p&gt;	Jigre vagy offsetes - chebus módszerrel is feltűzhető&lt;/p&gt;]]&gt;&lt;/Termekleiras&gt;</t>
  </si>
  <si>
    <t xml:space="preserve">&lt;Kepek&gt;</t>
  </si>
  <si>
    <t xml:space="preserve">&lt;Kep id="thumb"&gt;https://images.energofish.hu/thumbimage/T10000-330.JPG&lt;/Kep&gt;</t>
  </si>
  <si>
    <t xml:space="preserve">&lt;Kep id="code"&gt;https://images.energofish.hu/codeimage/C10000-327.JPG&lt;/Kep&gt;</t>
  </si>
  <si>
    <t xml:space="preserve">&lt;Kep id="small"&gt;https://images.energofish.hu/smallimage/S10000-328.JPG&lt;/Kep&gt;</t>
  </si>
  <si>
    <t xml:space="preserve">&lt;Kep id="large"&gt;https://images.energofish.hu/largeimage/L10000-327.JPG&lt;/Kep&gt;</t>
  </si>
  <si>
    <t xml:space="preserve">&lt;Kep id="gallery1"&gt;https://images.energofish.hu/galleryimage/G10000-327.JPG&lt;/Kep&gt;</t>
  </si>
  <si>
    <t xml:space="preserve">&lt;Kep id="gallery2"&gt;https://images.energofish.hu/galleryimage/G10000-328.JPG&lt;/Kep&gt;</t>
  </si>
  <si>
    <t xml:space="preserve">&lt;Kep id="gallery3"&gt;https://images.energofish.hu/galleryimage/G10000-330.JPG&lt;/Kep&gt;</t>
  </si>
  <si>
    <t xml:space="preserve">&lt;/Kepek&gt;</t>
  </si>
  <si>
    <t xml:space="preserve">&lt;Video title=""&gt;&lt;/Video&gt;</t>
  </si>
  <si>
    <t xml:space="preserve">&lt;Termek_jellemzok&gt;</t>
  </si>
  <si>
    <t xml:space="preserve">&lt;/Termek_jellemzok&gt;</t>
  </si>
  <si>
    <t xml:space="preserve">&lt;Parameterek&gt;</t>
  </si>
  <si>
    <t xml:space="preserve">&lt;Parameter id="5" name="Cikkszám"&gt;&lt;![CDATA[10000-327]]&gt;&lt;/Parameter&gt;</t>
  </si>
  <si>
    <t xml:space="preserve">&lt;Parameter id="16" name="Horogméret"&gt;&lt;![CDATA[]]&gt;&lt;/Parameter&gt;</t>
  </si>
  <si>
    <t xml:space="preserve">&lt;Parameter id="19" name="Kiszerelés"&gt;&lt;![CDATA[]]&gt;&lt;/Parameter&gt;</t>
  </si>
  <si>
    <t xml:space="preserve">&lt;Parameter id="21" name="Méret"&gt;&lt;![CDATA[12 cm]]&gt;&lt;/Parameter&gt;</t>
  </si>
  <si>
    <t xml:space="preserve">&lt;Parameter id="23" name="Merülési szint (m)"&gt;&lt;![CDATA[]]&gt;&lt;/Parameter&gt;</t>
  </si>
  <si>
    <t xml:space="preserve">&lt;Parameter id="28" name="Súly"&gt;&lt;![CDATA[]]&gt;&lt;/Parameter&gt;</t>
  </si>
  <si>
    <t xml:space="preserve">&lt;Parameter id="31" name="Szín"&gt;&lt;![CDATA[Red]]&gt;&lt;/Parameter&gt;</t>
  </si>
  <si>
    <t xml:space="preserve">&lt;Parameter id="33" name="Típus"&gt;&lt;![CDATA[Crab]]&gt;&lt;/Parameter&gt;</t>
  </si>
  <si>
    <t xml:space="preserve">&lt;Parameter id="37" name="Változat"&gt;&lt;![CDATA[]]&gt;&lt;/Parameter&gt;</t>
  </si>
  <si>
    <t xml:space="preserve">&lt;/Parameterek&gt;</t>
  </si>
  <si>
    <t xml:space="preserve">&lt;Nagyker_egysegar_netto&gt;395 Ft/DB&lt;/Nagyker_egysegar_netto&gt;</t>
  </si>
  <si>
    <t xml:space="preserve">&lt;Nagyker_akcios_egysegar_netto&gt;320 Ft/DB&lt;/Nagyker_akcios_egysegar_netto&gt;</t>
  </si>
  <si>
    <t xml:space="preserve">&lt;Kisker_egysegar_brutto&gt;690 Ft/DB&lt;/Kisker_egysegar_brutto&gt;</t>
  </si>
  <si>
    <t xml:space="preserve">&lt;Kisker_akcios_egysegar_brutto&gt;530 Ft/DB&lt;/Kisker_akcios_egysegar_brutto&gt;</t>
  </si>
  <si>
    <t xml:space="preserve">&lt;Ertekesitesi_egyseg&gt;DB&lt;/Ertekesitesi_egyseg&gt;</t>
  </si>
  <si>
    <t xml:space="preserve">&lt;Kiszerelesi_egyseg&gt;DB&lt;/Kiszerelesi_egyseg&gt;</t>
  </si>
  <si>
    <t xml:space="preserve">&lt;Katalogus_info&gt;K&lt;/Katalogus_info&gt;</t>
  </si>
  <si>
    <t xml:space="preserve">&lt;Alacsony_keszlet&gt;1&lt;/Alacsony_keszlet&gt;</t>
  </si>
  <si>
    <t xml:space="preserve">&lt;Fotermek_matrica&gt;56p_kifuto_plecsni.png&lt;/Fotermek_matrica&gt;</t>
  </si>
  <si>
    <t xml:space="preserve">&lt;Altermek_matrica&gt;56s_kifuto_plecsni.png&lt;/Altermek_matrica&gt;</t>
  </si>
  <si>
    <t xml:space="preserve">&lt;/Termek&gt;</t>
  </si>
  <si>
    <t xml:space="preserve">10729-300</t>
  </si>
  <si>
    <t xml:space="preserve">&lt;Cikkszam&gt;10729300&lt;/Cikkszam&gt;</t>
  </si>
  <si>
    <t xml:space="preserve">&lt;CikkszamK&gt;10729-300&lt;/CikkszamK&gt;</t>
  </si>
  <si>
    <t xml:space="preserve">&lt;Termeknev&gt;&lt;![CDATA[KAMASAKI BOT TELE POWER 3M/40-80G]]&gt;&lt;/Termeknev&gt;</t>
  </si>
  <si>
    <t xml:space="preserve">&lt;Fotermek id="6992"&gt;&lt;![CDATA[KAMASAKI TELE POWER BOT]]&gt;&lt;/Fotermek&gt;</t>
  </si>
  <si>
    <t xml:space="preserve">&lt;Termek_link&gt;https://energofish.hu/product.php/Botok-KAMASAKI-TELE-POWER-BOT/6992/&lt;/Termek_link&gt;</t>
  </si>
  <si>
    <t xml:space="preserve">&lt;Vonalkod&gt;5999018323513&lt;/Vonalkod&gt;</t>
  </si>
  <si>
    <t xml:space="preserve">&lt;VTSZ_SZJ&gt;95071000&lt;/VTSZ_SZJ&gt;</t>
  </si>
  <si>
    <t xml:space="preserve">&lt;Kategoria id="10"&gt;&lt;![CDATA[Botok]]&gt;&lt;/Kategoria&gt;</t>
  </si>
  <si>
    <t xml:space="preserve">&lt;Alkategoria id="10080"&gt;&lt;![CDATA[Általános teleszkópos]]&gt;&lt;/Alkategoria&gt;</t>
  </si>
  <si>
    <t xml:space="preserve">&lt;Marka_gyarto&gt;&lt;![CDATA[Kamasaki]]&gt;&lt;/Marka_gyarto&gt;</t>
  </si>
  <si>
    <t xml:space="preserve">&lt;Nagyker_netto&gt;4970&lt;/Nagyker_netto&gt;</t>
  </si>
  <si>
    <t xml:space="preserve">&lt;Nagyker_akcios_netto&gt;0&lt;/Nagyker_akcios_netto&gt;</t>
  </si>
  <si>
    <t xml:space="preserve">&lt;Kisker_brutto&gt;8690&lt;/Kisker_brutto&gt;</t>
  </si>
  <si>
    <t xml:space="preserve">&lt;Kisker_akcios_brutto&gt;0&lt;/Kisker_akcios_brutto&gt;</t>
  </si>
  <si>
    <t xml:space="preserve">&lt;KartonMennyiseg&gt;25&lt;/KartonMennyiseg&gt;</t>
  </si>
  <si>
    <t xml:space="preserve">&lt;KartonSuly&gt;9.0000&lt;/KartonSuly&gt;</t>
  </si>
  <si>
    <t xml:space="preserve">&lt;KartonTerfogat&gt;0.0500&lt;/KartonTerfogat&gt;</t>
  </si>
  <si>
    <t xml:space="preserve">&lt;Letrehozas_datuma&gt;2014-01-09 17:39:00&lt;/Letrehozas_datuma&gt;</t>
  </si>
  <si>
    <t xml:space="preserve">&lt;Termekleiras&gt;&lt;![CDATA[&lt;p&gt;	&lt;/p&gt;&lt;p&gt;	Kamasaki Tele Power bot&lt;br /&gt;	&lt;br /&gt;	A népszerű Kamasaki márka orsói és számos hasznos kiegészítője mellett most megbízható, gondosan megtervezett horgászbotjait kínálja a horgászoknak.&lt;br /&gt;	&lt;br /&gt;	Igényes megjelenésű, duplon nyéllel szerelt és erőteljességet sugárzó horgászbot. Kiemelkedő tulajdonságai közé tartozik rendkívül kedvező ár-érték aránya.&lt;br /&gt;	&lt;br /&gt;	- Tökéletes választás a fenekező pontyhorgászoknak, de nem kizárólag nekik ajánlható.&lt;br /&gt;	- Bátran átszerelhetjük úszós vagy fenekező rablóhalazásra, a bot gerince kellő erőt fog adnia bevágáshoz.&lt;br /&gt;	&lt;br /&gt;	Ajánlott zsinórvastagság 0.25 mm - 0,35 mm-ig.&lt;br /&gt;	Válasszunk hozzá 50-es 60-as, kifogástalan fékrendszerű orsót.&lt;br /&gt;	&lt;br /&gt;	- SiC gyűrűsorral készül, ami garancia a jó minőségre.&lt;br /&gt;	- A bot szállítási hossza 100 cm alatti, így bárhová kényelmesen magunkkal vihetjük.&lt;br /&gt;	&lt;br /&gt;	Kezdő horgászoktól a középhaladókig mindenki eredményesen használhatja.&lt;/p&gt;]]&gt;&lt;/Termekleiras&gt;</t>
  </si>
  <si>
    <t xml:space="preserve">&lt;Kep id="thumb"&gt;https://images.energofish.hu/thumbimage/T10729-300.JPG&lt;/Kep&gt;</t>
  </si>
  <si>
    <t xml:space="preserve">&lt;Kep id="code"&gt;&lt;/Kep&gt;</t>
  </si>
  <si>
    <t xml:space="preserve">&lt;Kep id="small"&gt;https://images.energofish.hu/smallimage/S10729-300.JPG&lt;/Kep&gt;</t>
  </si>
  <si>
    <t xml:space="preserve">&lt;Kep id="large"&gt;&lt;/Kep&gt;</t>
  </si>
  <si>
    <t xml:space="preserve">&lt;Kep id="gallery1"&gt;https://images.energofish.hu/galleryimage/6992_4328.jpg&lt;/Kep&gt;</t>
  </si>
  <si>
    <t xml:space="preserve">&lt;Kep id="gallery2"&gt;https://images.energofish.hu/galleryimage/6992_4329.jpg&lt;/Kep&gt;</t>
  </si>
  <si>
    <t xml:space="preserve">&lt;Kep id="gallery3"&gt;https://images.energofish.hu/galleryimage/6992_4330.jpg&lt;/Kep&gt;</t>
  </si>
  <si>
    <t xml:space="preserve">&lt;Kep id="gallery4"&gt;https://images.energofish.hu/galleryimage/6992_4336.jpg&lt;/Kep&gt;</t>
  </si>
  <si>
    <t xml:space="preserve">&lt;Jellemzo id="100" name=""&gt;&lt;![CDATA[A B kategóriás botoknál mind a fárasztás, mind a dobás során a bot felső harmada hajlik. Népszerű karakter, mivel horgászat teljes spektrumában, a dobástól a szákolásig, megbízhatóan dolgozik.]]&gt;&lt;/Jellemzo&gt;</t>
  </si>
  <si>
    <t xml:space="preserve">&lt;Jellemzo id="25" name=""&gt;&lt;![CDATA[A szénszálas anyagok és a gyártástechnológia rohamos fejlődésének köszönhetően a horgászbotok új generációja jelent meg az üzletek polcain. Az IM5-ös karbon felhasználásával készült botok könnyebbek és kecsesebbek, mint a hasonló paraméterekkel rendelkező üvegszálból készült kompozit társaik.]]&gt;&lt;/Jellemzo&gt;</t>
  </si>
  <si>
    <t xml:space="preserve">&lt;Jellemzo id="113" name=""&gt;&lt;![CDATA[Teljes egészében kiváló minőségű duplon anyaggal borított, klasszikus kialakítású nyél. A kemény, szivacsszerű felületnek köszönhetően akár nedves kézzel is stabil fogást biztosít a fárasztás és a dobás során is.]]&gt;&lt;/Jellemzo&gt;</t>
  </si>
  <si>
    <t xml:space="preserve">&lt;Jellemzo id="133" name=""&gt;&lt;![CDATA[A botra a leggyakrabban alkalmazott csavaros orsótartó került. A több évtizede használt típus népszerűsége az egyszerűségben és a megbízható felépítésben rejlik. Az orsó rögzítésére két darab, az orsótalp befogadására képes, műanyagbetétes pofa szolgál, melyek közül az egyik egy nagyméretű anyával szorítható meg.]]&gt;&lt;/Jellemzo&gt;</t>
  </si>
  <si>
    <t xml:space="preserve">&lt;Jellemzo id="126" name=""&gt;&lt;![CDATA[A úgynevezett SIC (szilícium-karbid) gyűrűk eleinte kizárólag a felsőkategóriás botok sajátjai voltak. Mára a technológia fejlődésével széles körben alkalmazzák. Kimagasló kopásállóságának és viszonylag kis súlyának köszönhetően a botgyártók egyik kedvelt gyűrűtípusává vált.]]&gt;&lt;/Jellemzo&gt;</t>
  </si>
  <si>
    <t xml:space="preserve">&lt;Parameter id="5" name="Cikkszám"&gt;&lt;![CDATA[10729-300]]&gt;&lt;/Parameter&gt;</t>
  </si>
  <si>
    <t xml:space="preserve">&lt;Parameter id="7" name="Dobósúly"&gt;&lt;![CDATA[40-80 g]]&gt;&lt;/Parameter&gt;</t>
  </si>
  <si>
    <t xml:space="preserve">&lt;Parameter id="17" name="Hossz"&gt;&lt;![CDATA[3 m]]&gt;&lt;/Parameter&gt;</t>
  </si>
  <si>
    <t xml:space="preserve">&lt;Parameter id="28" name="Súly"&gt;&lt;![CDATA[290 g]]&gt;&lt;/Parameter&gt;</t>
  </si>
  <si>
    <t xml:space="preserve">&lt;Parameter id="29" name="Szállítási méret"&gt;&lt;![CDATA[98 cm]]&gt;&lt;/Parameter&gt;</t>
  </si>
  <si>
    <t xml:space="preserve">&lt;Parameter id="34" name="Tagok száma"&gt;&lt;![CDATA[]]&gt;&lt;/Parameter&gt;</t>
  </si>
  <si>
    <t xml:space="preserve">&lt;Parameter id="40" name="Akció"&gt;&lt;![CDATA[B]]&gt;&lt;/Parameter&gt;</t>
  </si>
  <si>
    <t xml:space="preserve">&lt;Nagyker_egysegar_netto&gt;&lt;/Nagyker_egysegar_netto&gt;</t>
  </si>
  <si>
    <t xml:space="preserve">&lt;Nagyker_akcios_egysegar_netto&gt;&lt;/Nagyker_akcios_egysegar_netto&gt;</t>
  </si>
  <si>
    <t xml:space="preserve">&lt;Kisker_egysegar_brutto&gt;&lt;/Kisker_egysegar_brutto&gt;</t>
  </si>
  <si>
    <t xml:space="preserve">&lt;Kisker_akcios_egysegar_brutto&gt;&lt;/Kisker_akcios_egysegar_brutto&gt;</t>
  </si>
  <si>
    <t xml:space="preserve">&lt;Kiszerelesi_egyseg&gt;&lt;/Kiszerelesi_egyseg&gt;</t>
  </si>
  <si>
    <t xml:space="preserve">&lt;Katalogus_info&gt;&lt;/Katalogus_info&gt;</t>
  </si>
  <si>
    <t xml:space="preserve">&lt;Fotermek_matrica&gt;&lt;/Fotermek_matrica&gt;</t>
  </si>
  <si>
    <t xml:space="preserve">&lt;Altermek_matrica&gt;&lt;/Altermek_matrica&gt;</t>
  </si>
  <si>
    <t xml:space="preserve">&lt;p&gt;	Wizard Crab &lt;/p&gt;&lt;p&gt;	Egyedi rákutánzat, melyet a legtöbb ragadozó szívesen fogyaszt. &lt;/p&gt;&lt;p&gt;	Jigre vagy offsetes - chebus módszerrel is feltűzhető&lt;/p&gt;</t>
  </si>
  <si>
    <t xml:space="preserve">10000328</t>
  </si>
  <si>
    <t xml:space="preserve">10000-328</t>
  </si>
  <si>
    <t xml:space="preserve">CRAB RED 8CM</t>
  </si>
  <si>
    <t xml:space="preserve">5999018248274</t>
  </si>
  <si>
    <t xml:space="preserve">10000330</t>
  </si>
  <si>
    <t xml:space="preserve">10000-330</t>
  </si>
  <si>
    <t xml:space="preserve">CRAB ORANGE 8CM</t>
  </si>
  <si>
    <t xml:space="preserve">5999018248281</t>
  </si>
  <si>
    <t xml:space="preserve">10000335</t>
  </si>
  <si>
    <t xml:space="preserve">10000-335</t>
  </si>
  <si>
    <t xml:space="preserve">ARNO STRIKE MINNOW BROWN 10CM 10PCS/BAG</t>
  </si>
  <si>
    <t xml:space="preserve">ARNO SPHERE MINNOW</t>
  </si>
  <si>
    <t xml:space="preserve">https://energofish.hu/product.php/Mucsali-ARNO-SPHERE-MINNOW/24341/</t>
  </si>
  <si>
    <t xml:space="preserve">5999018251205</t>
  </si>
  <si>
    <t xml:space="preserve">&lt;p open="" size:="" style="box-sizing: border-box; margin: 0px 0px 10px; overflow-wrap: break-word; color: rgb(65, 66, 66);"&gt;	Ennek a csalinak lágyabb anyaga van és egy igazán érdekes testtel van ellátva, így a nagyobb halakra való horgászathoz is jó alternatíva.&lt;/p&gt;&lt;p open="" size:="" style="box-sizing: border-box; margin: 0px 0px 10px; overflow-wrap: break-word; color: rgb(65, 66, 66);"&gt;	Csukára és süllőre is jó választás! Akár Dropshot módszerhez is.&lt;/p&gt;</t>
  </si>
  <si>
    <t xml:space="preserve">10000341</t>
  </si>
  <si>
    <t xml:space="preserve">10000-341</t>
  </si>
  <si>
    <t xml:space="preserve">ARNO SPHERE MINNOW BLACK-YELLOW 11CM 10PCS/BAG</t>
  </si>
  <si>
    <t xml:space="preserve">5999018252080</t>
  </si>
  <si>
    <t xml:space="preserve">10000342</t>
  </si>
  <si>
    <t xml:space="preserve">10000-342</t>
  </si>
  <si>
    <t xml:space="preserve">ARNO SPHERE MINNOW WHITE-YELLOW 11CM 10PCS/BAG</t>
  </si>
  <si>
    <t xml:space="preserve">5999018252097</t>
  </si>
  <si>
    <t xml:space="preserve">10000344</t>
  </si>
  <si>
    <t xml:space="preserve">10000-344</t>
  </si>
  <si>
    <t xml:space="preserve">ARNO SPHERE MINNOW CLARET-YELLOW 11CM 10PCS/BAG</t>
  </si>
  <si>
    <t xml:space="preserve">5999018252110</t>
  </si>
  <si>
    <t xml:space="preserve">10000345</t>
  </si>
  <si>
    <t xml:space="preserve">10000-345</t>
  </si>
  <si>
    <t xml:space="preserve">ARNO SPHERE MINNOW SALMON 11CM 10PCS/BAG</t>
  </si>
  <si>
    <t xml:space="preserve">5999018252127</t>
  </si>
  <si>
    <t xml:space="preserve">10108210</t>
  </si>
  <si>
    <t xml:space="preserve">10108-210</t>
  </si>
  <si>
    <t xml:space="preserve">ARNO REGULUS ROD 2.1</t>
  </si>
  <si>
    <t xml:space="preserve">ARNO REGULUS PERGETŐ BOT</t>
  </si>
  <si>
    <t xml:space="preserve">https://energofish.hu/product.php/Botok-ARNO-REGULUS-PERGETO-BOT/24144/</t>
  </si>
  <si>
    <t xml:space="preserve">5999018245259</t>
  </si>
  <si>
    <t xml:space="preserve">95071000</t>
  </si>
  <si>
    <t xml:space="preserve">&lt;p&gt;	Arno Regulus pergető bot&lt;/p&gt;&lt;p&gt;	A megfelelő minőséggel rendelkező, mégis megfizethető árkategóriájú Regulus Spin pergetőbotok a medium pergetés szükségeteihez nyújtanak tökéletes variánst.&lt;/p&gt;&lt;p&gt;	Kényelmes EVAnyél, masszív orsótartó és a fonott zsinóros horgászatnak tökéletesen megfelelő gyűrűsor került a botra.&lt;/p&gt;&lt;p&gt;	A piros-fekete dizájnt kapott Regulus Spin egy könnyű, tökéletesen kiegyensúlyozott, erős-gerinces pergető bot, mely az őszi csukázáshoz is tökéletes választás, függetlenül a használt műcsaliktól.&lt;/p&gt;&lt;p&gt;	Dobósúlyának köszönhetően, a gumihalazástól, a támolygózásig széleskörűen alkalmazható széria.&lt;/p&gt;</t>
  </si>
  <si>
    <t xml:space="preserve">10671299</t>
  </si>
  <si>
    <t xml:space="preserve">10671-299</t>
  </si>
  <si>
    <t xml:space="preserve">SPICCTAG FENG TOU POLE BOT</t>
  </si>
  <si>
    <t xml:space="preserve">https://energofish.hu/product.php/Alkatresz-SPICCTAG-FENG-TOU-POLE-BOT/24511/</t>
  </si>
  <si>
    <t xml:space="preserve">5999018228139</t>
  </si>
  <si>
    <t xml:space="preserve">No name</t>
  </si>
  <si>
    <t xml:space="preserve">&lt;p&gt;	SPICCTAG FENG TOU POLE BOT&lt;/p&gt;</t>
  </si>
  <si>
    <t xml:space="preserve">főtermék</t>
  </si>
  <si>
    <t xml:space="preserve">variáns</t>
  </si>
  <si>
    <t xml:space="preserve">https://images.energofish.hu/codeimage/C10000-327.JPG</t>
  </si>
  <si>
    <t xml:space="preserve">https://images.energofish.hu/smallimage/S10000-328.JPG</t>
  </si>
  <si>
    <t xml:space="preserve">https://images.energofish.hu/largeimage/L10000-327.JPG</t>
  </si>
  <si>
    <t xml:space="preserve">gallery1</t>
  </si>
  <si>
    <t xml:space="preserve">gallery</t>
  </si>
  <si>
    <t xml:space="preserve">https://images.energofish.hu/galleryimage/G10000-327.JPG</t>
  </si>
  <si>
    <t xml:space="preserve">gallery2</t>
  </si>
  <si>
    <t xml:space="preserve">https://images.energofish.hu/galleryimage/G10000-328.JPG</t>
  </si>
  <si>
    <t xml:space="preserve">gallery3</t>
  </si>
  <si>
    <t xml:space="preserve">https://images.energofish.hu/galleryimage/G10000-330.JPG</t>
  </si>
  <si>
    <t xml:space="preserve">https://images.energofish.hu/codeimage/C10000-328.JPG</t>
  </si>
  <si>
    <t xml:space="preserve">https://images.energofish.hu/largeimage/L10000-328.JPG</t>
  </si>
  <si>
    <t xml:space="preserve">https://images.energofish.hu/codeimage/C10000-330.JPG</t>
  </si>
  <si>
    <t xml:space="preserve">https://images.energofish.hu/largeimage/L10000-330.JPG</t>
  </si>
  <si>
    <t xml:space="preserve">https://images.energofish.hu/thumbimage/T10000-335.JPG</t>
  </si>
  <si>
    <t xml:space="preserve">https://images.energofish.hu/codeimage/C10000-335.JPG</t>
  </si>
  <si>
    <t xml:space="preserve">https://images.energofish.hu/smallimage/S10000-335.JPG</t>
  </si>
  <si>
    <t xml:space="preserve">https://images.energofish.hu/largeimage/L10000-335.JPG</t>
  </si>
  <si>
    <t xml:space="preserve">https://images.energofish.hu/galleryimage/G10000-341.JPG</t>
  </si>
  <si>
    <t xml:space="preserve">https://images.energofish.hu/galleryimage/G10000-342.JPG</t>
  </si>
  <si>
    <t xml:space="preserve">https://images.energofish.hu/galleryimage/G10000-344.JPG</t>
  </si>
  <si>
    <t xml:space="preserve">gallery4</t>
  </si>
  <si>
    <t xml:space="preserve">https://images.energofish.hu/galleryimage/G10000-346.JPG</t>
  </si>
  <si>
    <t xml:space="preserve">gallery5</t>
  </si>
  <si>
    <t xml:space="preserve">https://images.energofish.hu/galleryimage/G10000-334.JPG</t>
  </si>
  <si>
    <t xml:space="preserve">gallery6</t>
  </si>
  <si>
    <t xml:space="preserve">https://images.energofish.hu/galleryimage/G10000-335.JPG</t>
  </si>
  <si>
    <t xml:space="preserve">https://images.energofish.hu/codeimage/C10000-341.JPG</t>
  </si>
  <si>
    <t xml:space="preserve">https://images.energofish.hu/largeimage/L10000-341.JPG</t>
  </si>
  <si>
    <t xml:space="preserve">https://images.energofish.hu/codeimage/C10000-342.JPG</t>
  </si>
  <si>
    <t xml:space="preserve">https://images.energofish.hu/largeimage/L10000-342.JPG</t>
  </si>
  <si>
    <t xml:space="preserve">https://images.energofish.hu/codeimage/C10000-344.JPG</t>
  </si>
  <si>
    <t xml:space="preserve">https://images.energofish.hu/largeimage/L10000-344.JPG</t>
  </si>
  <si>
    <t xml:space="preserve">https://images.energofish.hu/thumbimage/T10108-198.JPG</t>
  </si>
  <si>
    <t xml:space="preserve">https://images.energofish.hu/codeimage/C10108-210.JPG</t>
  </si>
  <si>
    <t xml:space="preserve">https://images.energofish.hu/smallimage/S10108-270.JPG</t>
  </si>
  <si>
    <t xml:space="preserve">https://images.energofish.hu/largeimage/L10108-210.JPG</t>
  </si>
  <si>
    <t xml:space="preserve">https://images.energofish.hu/galleryimage/G10108-198_1.JPG</t>
  </si>
  <si>
    <t xml:space="preserve">https://images.energofish.hu/galleryimage/G10108-198_2.JPG</t>
  </si>
  <si>
    <t xml:space="preserve">https://images.energofish.hu/galleryimage/G10108-198_3.JPG</t>
  </si>
  <si>
    <t xml:space="preserve">https://images.energofish.hu/galleryimage/G10108-198_4.JPG</t>
  </si>
  <si>
    <t xml:space="preserve">https://images.energofish.hu/galleryimage/G10108-210_1.JPG</t>
  </si>
  <si>
    <t xml:space="preserve">https://images.energofish.hu/galleryimage/G10108-210_2.JPG</t>
  </si>
  <si>
    <t xml:space="preserve">gallery7</t>
  </si>
  <si>
    <t xml:space="preserve">https://images.energofish.hu/galleryimage/G10108-210_3.JPG</t>
  </si>
  <si>
    <t xml:space="preserve">gallery8</t>
  </si>
  <si>
    <t xml:space="preserve">https://images.energofish.hu/galleryimage/G10108-210_4.JPG</t>
  </si>
  <si>
    <t xml:space="preserve">gallery9</t>
  </si>
  <si>
    <t xml:space="preserve">https://images.energofish.hu/galleryimage/G10108-240_1.JPG</t>
  </si>
  <si>
    <t xml:space="preserve">gallery10</t>
  </si>
  <si>
    <t xml:space="preserve">https://images.energofish.hu/galleryimage/G10108-240_2.JPG</t>
  </si>
  <si>
    <t xml:space="preserve">gallery11</t>
  </si>
  <si>
    <t xml:space="preserve">https://images.energofish.hu/galleryimage/G10108-240_3.JPG</t>
  </si>
  <si>
    <t xml:space="preserve">gallery12</t>
  </si>
  <si>
    <t xml:space="preserve">https://images.energofish.hu/galleryimage/G10108-240_4.JPG</t>
  </si>
  <si>
    <t xml:space="preserve">gallery13</t>
  </si>
  <si>
    <t xml:space="preserve">https://images.energofish.hu/galleryimage/G10108-270_1.JPG</t>
  </si>
  <si>
    <t xml:space="preserve">gallery14</t>
  </si>
  <si>
    <t xml:space="preserve">https://images.energofish.hu/galleryimage/G10108-270_2.JPG</t>
  </si>
  <si>
    <t xml:space="preserve">gallery15</t>
  </si>
  <si>
    <t xml:space="preserve">https://images.energofish.hu/galleryimage/G10108-270_3.JPG</t>
  </si>
  <si>
    <t xml:space="preserve">gallery16</t>
  </si>
  <si>
    <t xml:space="preserve">https://images.energofish.hu/galleryimage/G10108-270_4.JPG</t>
  </si>
  <si>
    <t xml:space="preserve">https://images.energofish.hu/thumbimage/T10671-299.JPG</t>
  </si>
  <si>
    <t xml:space="preserve">https://images.energofish.hu/codeimage/C10671-299.JPG</t>
  </si>
  <si>
    <t xml:space="preserve">https://images.energofish.hu/smallimage/S10671-299.JPG</t>
  </si>
  <si>
    <t xml:space="preserve">https://images.energofish.hu/largeimage/L10671-299.JPG</t>
  </si>
  <si>
    <t xml:space="preserve">https://images.energofish.hu/galleryimage/G10671-299.JPG</t>
  </si>
  <si>
    <t xml:space="preserve">Red</t>
  </si>
  <si>
    <t xml:space="preserve">Crab</t>
  </si>
  <si>
    <t xml:space="preserve">8 cm</t>
  </si>
  <si>
    <t xml:space="preserve">Orange</t>
  </si>
  <si>
    <t xml:space="preserve">10 db/csomag</t>
  </si>
  <si>
    <t xml:space="preserve">10 cm</t>
  </si>
  <si>
    <t xml:space="preserve">Brown</t>
  </si>
  <si>
    <t xml:space="preserve">Sphere Minnow</t>
  </si>
  <si>
    <t xml:space="preserve">11 cm</t>
  </si>
  <si>
    <t xml:space="preserve">Black-Yellow</t>
  </si>
  <si>
    <t xml:space="preserve">White-Yellow</t>
  </si>
  <si>
    <t xml:space="preserve">Claret-Yellow</t>
  </si>
  <si>
    <t xml:space="preserve">Salmon</t>
  </si>
  <si>
    <t xml:space="preserve">40-80 g</t>
  </si>
  <si>
    <t xml:space="preserve">2,1 m</t>
  </si>
  <si>
    <t xml:space="preserve">10729300</t>
  </si>
  <si>
    <t xml:space="preserve">A B kategóriás botoknál mind a fárasztás, mind a dobás során a bot felső harmada hajlik. Népszerű karakter, mivel horgászat teljes spektrumában, a dobástól a szákolásig, megbízhatóan dolgozik.</t>
  </si>
  <si>
    <t xml:space="preserve">A szénszálas anyagok és a gyártástechnológia rohamos fejlődésének köszönhetően a horgászbotok új generációja jelent meg az üzletek polcain. Az IM5-ös karbon felhasználásával készült botok könnyebbek és kecsesebbek, mint a hasonló paraméterekkel rendelkező üvegszálból készült kompozit társaik.</t>
  </si>
  <si>
    <t xml:space="preserve">Teljes egészében kiváló minőségű duplon anyaggal borított, klasszikus kialakítású nyél. A kemény, szivacsszerű felületnek köszönhetően akár nedves kézzel is stabil fogást biztosít a fárasztás és a dobás során is.</t>
  </si>
  <si>
    <t xml:space="preserve">A botra a leggyakrabban alkalmazott csavaros orsótartó került. A több évtizede használt típus népszerűsége az egyszerűségben és a megbízható felépítésben rejlik. Az orsó rögzítésére két darab, az orsótalp befogadására képes, műanyagbetétes pofa szolgál, melyek közül az egyik egy nagyméretű anyával szorítható meg.</t>
  </si>
  <si>
    <t xml:space="preserve">A úgynevezett SIC (szilícium-karbid) gyűrűk eleinte kizárólag a felsőkategóriás botok sajátjai voltak. Mára a technológia fejlődésével széles körben alkalmazzák. Kimagasló kopásállóságának és viszonylag kis súlyának köszönhetően a botgyártók egyik kedvelt gyűrűtípusává vált.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</si>
</sst>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@"/>
    <numFmt numFmtId="167" formatCode="#,##0"/>
    <numFmt numFmtId="168" formatCode="0.0%"/>
    <numFmt numFmtId="169" formatCode="General"/>
    <numFmt numFmtId="170" formatCode="0.0000"/>
    <numFmt numFmtId="171" formatCode="yyyy\-mm\-dd\ 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C00000"/>
        <bgColor rgb="FF800000"/>
      </patternFill>
    </fill>
    <fill>
      <patternFill patternType="solid">
        <fgColor rgb="FF833C0B"/>
        <bgColor rgb="FF993366"/>
      </patternFill>
    </fill>
    <fill>
      <patternFill patternType="solid">
        <fgColor rgb="FF375623"/>
        <bgColor rgb="FF3A3838"/>
      </patternFill>
    </fill>
    <fill>
      <patternFill patternType="solid">
        <fgColor rgb="FF548235"/>
        <bgColor rgb="FF339966"/>
      </patternFill>
    </fill>
    <fill>
      <patternFill patternType="solid">
        <fgColor rgb="FF3A3838"/>
        <bgColor rgb="FF375623"/>
      </patternFill>
    </fill>
    <fill>
      <patternFill patternType="solid">
        <fgColor rgb="FF305496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3A3838"/>
          <bgColor rgb="FF000000"/>
        </patternFill>
      </fill>
    </dxf>
    <dxf>
      <fill>
        <patternFill patternType="solid">
          <fgColor rgb="FF30549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75623"/>
      <rgbColor rgb="FF833C0B"/>
      <rgbColor rgb="FF993366"/>
      <rgbColor rgb="FF305496"/>
      <rgbColor rgb="FF3A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4" t="n">
        <v>48515178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9" customFormat="false" ht="15" hidden="false" customHeight="false" outlineLevel="0" collapsed="false">
      <c r="A9" s="2" t="s">
        <v>15</v>
      </c>
      <c r="B9" s="4" t="n">
        <v>12433</v>
      </c>
    </row>
    <row r="10" customFormat="false" ht="15" hidden="false" customHeight="false" outlineLevel="0" collapsed="false">
      <c r="A10" s="2" t="s">
        <v>16</v>
      </c>
      <c r="B10" s="4" t="n">
        <v>3623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7" customFormat="false" ht="15" hidden="false" customHeight="false" outlineLevel="0" collapsed="false">
      <c r="A17" s="2" t="s">
        <v>29</v>
      </c>
      <c r="B17" s="3" t="s">
        <v>30</v>
      </c>
    </row>
    <row r="18" customFormat="false" ht="15" hidden="false" customHeight="false" outlineLevel="0" collapsed="false">
      <c r="A18" s="2" t="s">
        <v>31</v>
      </c>
      <c r="B18" s="3" t="s">
        <v>32</v>
      </c>
    </row>
    <row r="19" customFormat="false" ht="15" hidden="false" customHeight="false" outlineLevel="0" collapsed="false">
      <c r="A19" s="2" t="s">
        <v>33</v>
      </c>
      <c r="B19" s="3" t="s">
        <v>34</v>
      </c>
    </row>
    <row r="20" customFormat="false" ht="23.85" hidden="false" customHeight="false" outlineLevel="0" collapsed="false">
      <c r="A20" s="2" t="s">
        <v>35</v>
      </c>
      <c r="B20" s="3" t="s">
        <v>36</v>
      </c>
    </row>
    <row r="21" customFormat="false" ht="23.85" hidden="false" customHeight="false" outlineLevel="0" collapsed="false">
      <c r="A21" s="2" t="s">
        <v>37</v>
      </c>
      <c r="B21" s="3" t="s">
        <v>38</v>
      </c>
    </row>
    <row r="22" customFormat="false" ht="23.85" hidden="false" customHeight="false" outlineLevel="0" collapsed="false">
      <c r="A22" s="2" t="s">
        <v>39</v>
      </c>
      <c r="B22" s="3" t="s">
        <v>40</v>
      </c>
    </row>
    <row r="23" customFormat="false" ht="23.85" hidden="false" customHeight="false" outlineLevel="0" collapsed="false">
      <c r="A23" s="2" t="s">
        <v>41</v>
      </c>
      <c r="B23" s="3" t="s">
        <v>42</v>
      </c>
    </row>
    <row r="24" customFormat="false" ht="23.85" hidden="false" customHeight="false" outlineLevel="0" collapsed="false">
      <c r="A24" s="2" t="s">
        <v>43</v>
      </c>
      <c r="B24" s="3" t="s">
        <v>44</v>
      </c>
    </row>
    <row r="25" customFormat="false" ht="23.85" hidden="false" customHeight="false" outlineLevel="0" collapsed="false">
      <c r="A25" s="2" t="s">
        <v>45</v>
      </c>
      <c r="B25" s="3" t="s">
        <v>46</v>
      </c>
    </row>
    <row r="26" customFormat="false" ht="23.85" hidden="false" customHeight="false" outlineLevel="0" collapsed="false">
      <c r="A26" s="2" t="s">
        <v>47</v>
      </c>
      <c r="B26" s="3" t="s">
        <v>48</v>
      </c>
    </row>
    <row r="27" customFormat="false" ht="15" hidden="false" customHeight="false" outlineLevel="0" collapsed="false">
      <c r="A27" s="2" t="s">
        <v>49</v>
      </c>
      <c r="B27" s="3" t="s">
        <v>50</v>
      </c>
    </row>
    <row r="28" customFormat="false" ht="15" hidden="false" customHeight="false" outlineLevel="0" collapsed="false">
      <c r="A28" s="2" t="s">
        <v>51</v>
      </c>
      <c r="B28" s="3" t="s">
        <v>52</v>
      </c>
    </row>
    <row r="29" customFormat="false" ht="15" hidden="false" customHeight="false" outlineLevel="0" collapsed="false">
      <c r="A29" s="2" t="s">
        <v>53</v>
      </c>
      <c r="B29" s="3" t="s">
        <v>54</v>
      </c>
    </row>
    <row r="30" customFormat="false" ht="15" hidden="false" customHeight="false" outlineLevel="0" collapsed="false">
      <c r="A30" s="2" t="s">
        <v>55</v>
      </c>
      <c r="B30" s="3" t="s">
        <v>56</v>
      </c>
    </row>
    <row r="31" customFormat="false" ht="15" hidden="false" customHeight="false" outlineLevel="0" collapsed="false">
      <c r="A31" s="2" t="s">
        <v>57</v>
      </c>
      <c r="B31" s="3" t="s">
        <v>58</v>
      </c>
    </row>
    <row r="32" customFormat="false" ht="15" hidden="false" customHeight="false" outlineLevel="0" collapsed="false">
      <c r="A32" s="2" t="s">
        <v>59</v>
      </c>
      <c r="B32" s="3" t="s">
        <v>60</v>
      </c>
    </row>
    <row r="33" customFormat="false" ht="15" hidden="false" customHeight="false" outlineLevel="0" collapsed="false">
      <c r="A33" s="2" t="s">
        <v>61</v>
      </c>
      <c r="B33" s="3" t="s">
        <v>62</v>
      </c>
    </row>
    <row r="34" customFormat="false" ht="15" hidden="false" customHeight="false" outlineLevel="0" collapsed="false">
      <c r="A34" s="2" t="s">
        <v>63</v>
      </c>
      <c r="B34" s="3" t="s">
        <v>64</v>
      </c>
    </row>
    <row r="35" customFormat="false" ht="15" hidden="false" customHeight="false" outlineLevel="0" collapsed="false">
      <c r="A35" s="2" t="s">
        <v>65</v>
      </c>
      <c r="B35" s="3" t="s">
        <v>66</v>
      </c>
    </row>
    <row r="36" customFormat="false" ht="15" hidden="false" customHeight="false" outlineLevel="0" collapsed="false">
      <c r="A36" s="2" t="s">
        <v>67</v>
      </c>
      <c r="B36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7" min="16" style="0" width="11"/>
    <col collapsed="false" customWidth="true" hidden="false" outlineLevel="0" max="21" min="18" style="0" width="10"/>
    <col collapsed="false" customWidth="true" hidden="false" outlineLevel="0" max="22" min="22" style="0" width="9"/>
    <col collapsed="false" customWidth="true" hidden="false" outlineLevel="0" max="23" min="23" style="0" width="40"/>
    <col collapsed="false" customWidth="true" hidden="false" outlineLevel="0" max="24" min="24" style="0" width="16"/>
    <col collapsed="false" customWidth="true" hidden="false" outlineLevel="0" max="25" min="25" style="0" width="30"/>
    <col collapsed="false" customWidth="true" hidden="false" outlineLevel="0" max="27" min="26" style="0" width="60"/>
    <col collapsed="false" customWidth="true" hidden="false" outlineLevel="0" max="28" min="28" style="0" width="14"/>
  </cols>
  <sheetData>
    <row r="1" customFormat="false" ht="30" hidden="false" customHeight="true" outlineLevel="0" collapsed="false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82</v>
      </c>
      <c r="O1" s="5" t="s">
        <v>83</v>
      </c>
      <c r="P1" s="5" t="s">
        <v>84</v>
      </c>
      <c r="Q1" s="5" t="s">
        <v>85</v>
      </c>
      <c r="R1" s="5" t="s">
        <v>86</v>
      </c>
      <c r="S1" s="5" t="s">
        <v>87</v>
      </c>
      <c r="T1" s="5" t="s">
        <v>88</v>
      </c>
      <c r="U1" s="5" t="s">
        <v>89</v>
      </c>
      <c r="V1" s="5" t="s">
        <v>90</v>
      </c>
      <c r="W1" s="5" t="s">
        <v>91</v>
      </c>
      <c r="X1" s="5" t="s">
        <v>92</v>
      </c>
      <c r="Y1" s="5" t="s">
        <v>93</v>
      </c>
      <c r="Z1" s="5" t="s">
        <v>94</v>
      </c>
      <c r="AA1" s="5" t="s">
        <v>95</v>
      </c>
      <c r="AB1" s="5" t="s">
        <v>96</v>
      </c>
    </row>
    <row r="2" customFormat="false" ht="15" hidden="false" customHeight="false" outlineLevel="0" collapsed="false">
      <c r="A2" s="6" t="s">
        <v>97</v>
      </c>
      <c r="B2" s="6" t="s">
        <v>97</v>
      </c>
      <c r="C2" s="3"/>
      <c r="D2" s="6" t="s">
        <v>98</v>
      </c>
      <c r="E2" s="3" t="n">
        <v>0</v>
      </c>
      <c r="F2" s="3" t="n">
        <v>1</v>
      </c>
      <c r="G2" s="6" t="s">
        <v>99</v>
      </c>
      <c r="H2" s="3"/>
      <c r="I2" s="6" t="s">
        <v>100</v>
      </c>
      <c r="J2" s="6" t="s">
        <v>101</v>
      </c>
      <c r="K2" s="3"/>
      <c r="L2" s="3"/>
      <c r="M2" s="6" t="s">
        <v>100</v>
      </c>
      <c r="N2" s="3"/>
      <c r="O2" s="3"/>
      <c r="P2" s="7" t="n">
        <v>1</v>
      </c>
      <c r="Q2" s="7"/>
      <c r="R2" s="8" t="str">
        <f aca="false">IF(OR(P2="",Q2="",P2=0),"",Q2/P2)</f>
        <v/>
      </c>
      <c r="S2" s="7"/>
      <c r="T2" s="3"/>
      <c r="U2" s="3"/>
      <c r="V2" s="3"/>
      <c r="W2" s="3"/>
      <c r="X2" s="3"/>
      <c r="Y2" s="3"/>
      <c r="Z2" s="6" t="s">
        <v>102</v>
      </c>
      <c r="AA2" s="6"/>
      <c r="AB2" s="6" t="s">
        <v>103</v>
      </c>
    </row>
    <row r="3" customFormat="false" ht="15" hidden="false" customHeight="false" outlineLevel="0" collapsed="false">
      <c r="A3" s="6" t="s">
        <v>104</v>
      </c>
      <c r="B3" s="6" t="s">
        <v>105</v>
      </c>
      <c r="C3" s="6" t="s">
        <v>97</v>
      </c>
      <c r="D3" s="6" t="s">
        <v>106</v>
      </c>
      <c r="E3" s="3" t="n">
        <v>1</v>
      </c>
      <c r="F3" s="3" t="n">
        <v>1</v>
      </c>
      <c r="G3" s="6" t="s">
        <v>107</v>
      </c>
      <c r="H3" s="3"/>
      <c r="I3" s="6" t="s">
        <v>100</v>
      </c>
      <c r="J3" s="6" t="s">
        <v>101</v>
      </c>
      <c r="K3" s="3"/>
      <c r="L3" s="3"/>
      <c r="M3" s="6" t="s">
        <v>100</v>
      </c>
      <c r="N3" s="3"/>
      <c r="O3" s="6" t="s">
        <v>108</v>
      </c>
      <c r="P3" s="7" t="n">
        <v>12433</v>
      </c>
      <c r="Q3" s="7"/>
      <c r="R3" s="8" t="str">
        <f aca="false">IF(OR(P3="",Q3="",P3=0),"",Q3/P3)</f>
        <v/>
      </c>
      <c r="S3" s="7" t="n">
        <v>12433</v>
      </c>
      <c r="T3" s="3"/>
      <c r="U3" s="3"/>
      <c r="V3" s="3"/>
      <c r="W3" s="3"/>
      <c r="X3" s="6" t="s">
        <v>108</v>
      </c>
      <c r="Y3" s="6" t="s">
        <v>109</v>
      </c>
      <c r="Z3" s="6" t="s">
        <v>110</v>
      </c>
      <c r="AA3" s="6"/>
      <c r="AB3" s="6" t="s">
        <v>103</v>
      </c>
    </row>
    <row r="4" customFormat="false" ht="15" hidden="false" customHeight="false" outlineLevel="0" collapsed="false">
      <c r="A4" s="6" t="s">
        <v>111</v>
      </c>
      <c r="B4" s="6" t="s">
        <v>112</v>
      </c>
      <c r="C4" s="6" t="s">
        <v>104</v>
      </c>
      <c r="D4" s="6" t="s">
        <v>113</v>
      </c>
      <c r="E4" s="3" t="n">
        <v>2</v>
      </c>
      <c r="F4" s="3" t="n">
        <v>1</v>
      </c>
      <c r="G4" s="6" t="s">
        <v>99</v>
      </c>
      <c r="H4" s="3"/>
      <c r="I4" s="6" t="s">
        <v>100</v>
      </c>
      <c r="J4" s="6" t="s">
        <v>114</v>
      </c>
      <c r="K4" s="6" t="s">
        <v>115</v>
      </c>
      <c r="L4" s="6" t="s">
        <v>116</v>
      </c>
      <c r="M4" s="6" t="s">
        <v>100</v>
      </c>
      <c r="N4" s="3"/>
      <c r="O4" s="6" t="s">
        <v>108</v>
      </c>
      <c r="P4" s="7" t="n">
        <v>12433</v>
      </c>
      <c r="Q4" s="7" t="n">
        <v>12433</v>
      </c>
      <c r="R4" s="8" t="n">
        <f aca="false">IF(OR(P4="",Q4="",P4=0),"",Q4/P4)</f>
        <v>1</v>
      </c>
      <c r="S4" s="7" t="n">
        <v>12433</v>
      </c>
      <c r="T4" s="3"/>
      <c r="U4" s="3"/>
      <c r="V4" s="3" t="n">
        <v>8</v>
      </c>
      <c r="W4" s="6" t="s">
        <v>117</v>
      </c>
      <c r="X4" s="6" t="s">
        <v>108</v>
      </c>
      <c r="Y4" s="6" t="s">
        <v>118</v>
      </c>
      <c r="Z4" s="6" t="s">
        <v>119</v>
      </c>
      <c r="AA4" s="6" t="s">
        <v>120</v>
      </c>
      <c r="AB4" s="6" t="s">
        <v>103</v>
      </c>
    </row>
    <row r="5" customFormat="false" ht="15" hidden="false" customHeight="false" outlineLevel="0" collapsed="false">
      <c r="A5" s="6" t="s">
        <v>121</v>
      </c>
      <c r="B5" s="6" t="s">
        <v>122</v>
      </c>
      <c r="C5" s="6" t="s">
        <v>104</v>
      </c>
      <c r="D5" s="6" t="s">
        <v>113</v>
      </c>
      <c r="E5" s="3" t="n">
        <v>2</v>
      </c>
      <c r="F5" s="3" t="n">
        <v>2</v>
      </c>
      <c r="G5" s="6" t="s">
        <v>99</v>
      </c>
      <c r="H5" s="3"/>
      <c r="I5" s="6" t="s">
        <v>100</v>
      </c>
      <c r="J5" s="6" t="s">
        <v>114</v>
      </c>
      <c r="K5" s="6" t="s">
        <v>123</v>
      </c>
      <c r="L5" s="6" t="s">
        <v>116</v>
      </c>
      <c r="M5" s="6" t="s">
        <v>100</v>
      </c>
      <c r="N5" s="3"/>
      <c r="O5" s="6" t="s">
        <v>108</v>
      </c>
      <c r="P5" s="7" t="n">
        <v>12433</v>
      </c>
      <c r="Q5" s="7" t="n">
        <v>12433</v>
      </c>
      <c r="R5" s="8" t="n">
        <f aca="false">IF(OR(P5="",Q5="",P5=0),"",Q5/P5)</f>
        <v>1</v>
      </c>
      <c r="S5" s="7" t="n">
        <v>12433</v>
      </c>
      <c r="T5" s="3"/>
      <c r="U5" s="3"/>
      <c r="V5" s="3" t="n">
        <v>9</v>
      </c>
      <c r="W5" s="6" t="s">
        <v>124</v>
      </c>
      <c r="X5" s="6" t="s">
        <v>108</v>
      </c>
      <c r="Y5" s="6" t="s">
        <v>125</v>
      </c>
      <c r="Z5" s="6" t="s">
        <v>126</v>
      </c>
      <c r="AA5" s="6" t="s">
        <v>127</v>
      </c>
      <c r="AB5" s="6" t="s">
        <v>103</v>
      </c>
    </row>
    <row r="6" customFormat="false" ht="15" hidden="false" customHeight="false" outlineLevel="0" collapsed="false">
      <c r="A6" s="6" t="s">
        <v>128</v>
      </c>
      <c r="B6" s="6" t="s">
        <v>129</v>
      </c>
      <c r="C6" s="6" t="s">
        <v>104</v>
      </c>
      <c r="D6" s="6" t="s">
        <v>113</v>
      </c>
      <c r="E6" s="3" t="n">
        <v>2</v>
      </c>
      <c r="F6" s="3" t="n">
        <v>3</v>
      </c>
      <c r="G6" s="6" t="s">
        <v>99</v>
      </c>
      <c r="H6" s="3"/>
      <c r="I6" s="6" t="s">
        <v>130</v>
      </c>
      <c r="J6" s="6" t="s">
        <v>114</v>
      </c>
      <c r="K6" s="3"/>
      <c r="L6" s="3"/>
      <c r="M6" s="6" t="s">
        <v>100</v>
      </c>
      <c r="N6" s="3"/>
      <c r="O6" s="6" t="s">
        <v>108</v>
      </c>
      <c r="P6" s="7" t="n">
        <v>12433</v>
      </c>
      <c r="Q6" s="7" t="n">
        <v>12433</v>
      </c>
      <c r="R6" s="8" t="n">
        <f aca="false">IF(OR(P6="",Q6="",P6=0),"",Q6/P6)</f>
        <v>1</v>
      </c>
      <c r="S6" s="7" t="n">
        <v>12390</v>
      </c>
      <c r="T6" s="3"/>
      <c r="U6" s="3"/>
      <c r="V6" s="3" t="n">
        <v>94</v>
      </c>
      <c r="W6" s="6" t="s">
        <v>131</v>
      </c>
      <c r="X6" s="6" t="s">
        <v>108</v>
      </c>
      <c r="Y6" s="6" t="s">
        <v>132</v>
      </c>
      <c r="Z6" s="6" t="s">
        <v>133</v>
      </c>
      <c r="AA6" s="6" t="s">
        <v>134</v>
      </c>
      <c r="AB6" s="6" t="s">
        <v>103</v>
      </c>
    </row>
    <row r="7" customFormat="false" ht="15" hidden="false" customHeight="false" outlineLevel="0" collapsed="false">
      <c r="A7" s="6" t="s">
        <v>135</v>
      </c>
      <c r="B7" s="6" t="s">
        <v>136</v>
      </c>
      <c r="C7" s="6" t="s">
        <v>104</v>
      </c>
      <c r="D7" s="6" t="s">
        <v>113</v>
      </c>
      <c r="E7" s="3" t="n">
        <v>2</v>
      </c>
      <c r="F7" s="3" t="n">
        <v>4</v>
      </c>
      <c r="G7" s="6" t="s">
        <v>99</v>
      </c>
      <c r="H7" s="3"/>
      <c r="I7" s="6" t="s">
        <v>130</v>
      </c>
      <c r="J7" s="6" t="s">
        <v>114</v>
      </c>
      <c r="K7" s="3"/>
      <c r="L7" s="3"/>
      <c r="M7" s="6" t="s">
        <v>100</v>
      </c>
      <c r="N7" s="3"/>
      <c r="O7" s="6" t="s">
        <v>108</v>
      </c>
      <c r="P7" s="7" t="n">
        <v>12433</v>
      </c>
      <c r="Q7" s="7" t="n">
        <v>12433</v>
      </c>
      <c r="R7" s="8" t="n">
        <f aca="false">IF(OR(P7="",Q7="",P7=0),"",Q7/P7)</f>
        <v>1</v>
      </c>
      <c r="S7" s="7" t="n">
        <v>3605</v>
      </c>
      <c r="T7" s="3"/>
      <c r="U7" s="3"/>
      <c r="V7" s="3" t="n">
        <v>96</v>
      </c>
      <c r="W7" s="6" t="s">
        <v>137</v>
      </c>
      <c r="X7" s="6" t="s">
        <v>108</v>
      </c>
      <c r="Y7" s="6" t="s">
        <v>138</v>
      </c>
      <c r="Z7" s="6" t="s">
        <v>139</v>
      </c>
      <c r="AA7" s="6" t="s">
        <v>140</v>
      </c>
      <c r="AB7" s="6" t="s">
        <v>103</v>
      </c>
    </row>
    <row r="8" customFormat="false" ht="23.85" hidden="false" customHeight="false" outlineLevel="0" collapsed="false">
      <c r="A8" s="6" t="s">
        <v>141</v>
      </c>
      <c r="B8" s="6" t="s">
        <v>142</v>
      </c>
      <c r="C8" s="6" t="s">
        <v>135</v>
      </c>
      <c r="D8" s="6" t="s">
        <v>143</v>
      </c>
      <c r="E8" s="3" t="n">
        <v>3</v>
      </c>
      <c r="F8" s="6" t="s">
        <v>144</v>
      </c>
      <c r="G8" s="6" t="s">
        <v>99</v>
      </c>
      <c r="H8" s="3"/>
      <c r="I8" s="6" t="s">
        <v>100</v>
      </c>
      <c r="J8" s="6" t="s">
        <v>145</v>
      </c>
      <c r="K8" s="6" t="s">
        <v>146</v>
      </c>
      <c r="L8" s="6" t="s">
        <v>116</v>
      </c>
      <c r="M8" s="6" t="s">
        <v>100</v>
      </c>
      <c r="N8" s="3"/>
      <c r="O8" s="6" t="s">
        <v>108</v>
      </c>
      <c r="P8" s="7" t="n">
        <v>12433</v>
      </c>
      <c r="Q8" s="7" t="n">
        <v>12433</v>
      </c>
      <c r="R8" s="8" t="n">
        <f aca="false">IF(OR(P8="",Q8="",P8=0),"",Q8/P8)</f>
        <v>1</v>
      </c>
      <c r="S8" s="7" t="n">
        <v>3623</v>
      </c>
      <c r="T8" s="3" t="n">
        <v>80</v>
      </c>
      <c r="U8" s="3" t="n">
        <v>26255</v>
      </c>
      <c r="V8" s="3"/>
      <c r="W8" s="6" t="s">
        <v>147</v>
      </c>
      <c r="X8" s="6" t="s">
        <v>108</v>
      </c>
      <c r="Y8" s="6" t="s">
        <v>148</v>
      </c>
      <c r="Z8" s="6" t="s">
        <v>149</v>
      </c>
      <c r="AA8" s="6"/>
      <c r="AB8" s="6" t="s">
        <v>103</v>
      </c>
    </row>
    <row r="9" customFormat="false" ht="23.85" hidden="false" customHeight="false" outlineLevel="0" collapsed="false">
      <c r="A9" s="6" t="s">
        <v>150</v>
      </c>
      <c r="B9" s="6" t="s">
        <v>151</v>
      </c>
      <c r="C9" s="6" t="s">
        <v>104</v>
      </c>
      <c r="D9" s="6" t="s">
        <v>113</v>
      </c>
      <c r="E9" s="3" t="n">
        <v>2</v>
      </c>
      <c r="F9" s="3" t="n">
        <v>5</v>
      </c>
      <c r="G9" s="6" t="s">
        <v>99</v>
      </c>
      <c r="H9" s="3"/>
      <c r="I9" s="6" t="s">
        <v>100</v>
      </c>
      <c r="J9" s="6" t="s">
        <v>152</v>
      </c>
      <c r="K9" s="6" t="s">
        <v>153</v>
      </c>
      <c r="L9" s="6" t="s">
        <v>116</v>
      </c>
      <c r="M9" s="6" t="s">
        <v>100</v>
      </c>
      <c r="N9" s="3"/>
      <c r="O9" s="6" t="s">
        <v>108</v>
      </c>
      <c r="P9" s="7" t="n">
        <v>12433</v>
      </c>
      <c r="Q9" s="7" t="n">
        <v>12433</v>
      </c>
      <c r="R9" s="8" t="n">
        <f aca="false">IF(OR(P9="",Q9="",P9=0),"",Q9/P9)</f>
        <v>1</v>
      </c>
      <c r="S9" s="7" t="n">
        <v>3624</v>
      </c>
      <c r="T9" s="3"/>
      <c r="U9" s="3"/>
      <c r="V9" s="3" t="n">
        <v>146</v>
      </c>
      <c r="W9" s="6" t="s">
        <v>154</v>
      </c>
      <c r="X9" s="6" t="s">
        <v>108</v>
      </c>
      <c r="Y9" s="6" t="s">
        <v>155</v>
      </c>
      <c r="Z9" s="6" t="s">
        <v>156</v>
      </c>
      <c r="AA9" s="6" t="s">
        <v>157</v>
      </c>
      <c r="AB9" s="6" t="s">
        <v>103</v>
      </c>
    </row>
    <row r="10" customFormat="false" ht="23.85" hidden="false" customHeight="false" outlineLevel="0" collapsed="false">
      <c r="A10" s="6" t="s">
        <v>158</v>
      </c>
      <c r="B10" s="6" t="s">
        <v>159</v>
      </c>
      <c r="C10" s="6" t="s">
        <v>104</v>
      </c>
      <c r="D10" s="6" t="s">
        <v>113</v>
      </c>
      <c r="E10" s="3" t="n">
        <v>2</v>
      </c>
      <c r="F10" s="3" t="n">
        <v>6</v>
      </c>
      <c r="G10" s="6" t="s">
        <v>99</v>
      </c>
      <c r="H10" s="3"/>
      <c r="I10" s="6" t="s">
        <v>100</v>
      </c>
      <c r="J10" s="6" t="s">
        <v>160</v>
      </c>
      <c r="K10" s="6" t="s">
        <v>161</v>
      </c>
      <c r="L10" s="6" t="s">
        <v>162</v>
      </c>
      <c r="M10" s="6" t="s">
        <v>130</v>
      </c>
      <c r="N10" s="6" t="s">
        <v>163</v>
      </c>
      <c r="O10" s="6" t="s">
        <v>108</v>
      </c>
      <c r="P10" s="7" t="n">
        <v>12433</v>
      </c>
      <c r="Q10" s="7" t="n">
        <v>12322</v>
      </c>
      <c r="R10" s="8" t="n">
        <f aca="false">IF(OR(P10="",Q10="",P10=0),"",Q10/P10)</f>
        <v>0.991072146706346</v>
      </c>
      <c r="S10" s="7" t="n">
        <v>12323</v>
      </c>
      <c r="T10" s="3"/>
      <c r="U10" s="3"/>
      <c r="V10" s="3" t="n">
        <v>13</v>
      </c>
      <c r="W10" s="6" t="s">
        <v>164</v>
      </c>
      <c r="X10" s="6" t="s">
        <v>108</v>
      </c>
      <c r="Y10" s="6" t="s">
        <v>165</v>
      </c>
      <c r="Z10" s="6" t="s">
        <v>166</v>
      </c>
      <c r="AA10" s="6" t="s">
        <v>167</v>
      </c>
      <c r="AB10" s="6" t="s">
        <v>103</v>
      </c>
    </row>
    <row r="11" customFormat="false" ht="23.85" hidden="false" customHeight="false" outlineLevel="0" collapsed="false">
      <c r="A11" s="6" t="s">
        <v>168</v>
      </c>
      <c r="B11" s="6" t="s">
        <v>169</v>
      </c>
      <c r="C11" s="6" t="s">
        <v>104</v>
      </c>
      <c r="D11" s="6" t="s">
        <v>113</v>
      </c>
      <c r="E11" s="3" t="n">
        <v>2</v>
      </c>
      <c r="F11" s="3" t="n">
        <v>7</v>
      </c>
      <c r="G11" s="6" t="s">
        <v>99</v>
      </c>
      <c r="H11" s="3"/>
      <c r="I11" s="6" t="s">
        <v>100</v>
      </c>
      <c r="J11" s="6" t="s">
        <v>170</v>
      </c>
      <c r="K11" s="6" t="s">
        <v>171</v>
      </c>
      <c r="L11" s="6" t="s">
        <v>172</v>
      </c>
      <c r="M11" s="6" t="s">
        <v>130</v>
      </c>
      <c r="N11" s="6" t="s">
        <v>173</v>
      </c>
      <c r="O11" s="6" t="s">
        <v>108</v>
      </c>
      <c r="P11" s="7" t="n">
        <v>12433</v>
      </c>
      <c r="Q11" s="7" t="n">
        <v>1822</v>
      </c>
      <c r="R11" s="8" t="n">
        <f aca="false">IF(OR(P11="",Q11="",P11=0),"",Q11/P11)</f>
        <v>0.146545483793131</v>
      </c>
      <c r="S11" s="7" t="n">
        <v>1823</v>
      </c>
      <c r="T11" s="3"/>
      <c r="U11" s="3"/>
      <c r="V11" s="3" t="n">
        <v>14</v>
      </c>
      <c r="W11" s="6" t="s">
        <v>174</v>
      </c>
      <c r="X11" s="6" t="s">
        <v>108</v>
      </c>
      <c r="Y11" s="6" t="s">
        <v>175</v>
      </c>
      <c r="Z11" s="6" t="s">
        <v>176</v>
      </c>
      <c r="AA11" s="6" t="s">
        <v>177</v>
      </c>
      <c r="AB11" s="6" t="s">
        <v>103</v>
      </c>
    </row>
    <row r="12" customFormat="false" ht="15" hidden="false" customHeight="false" outlineLevel="0" collapsed="false">
      <c r="A12" s="6" t="s">
        <v>178</v>
      </c>
      <c r="B12" s="6" t="s">
        <v>179</v>
      </c>
      <c r="C12" s="6" t="s">
        <v>104</v>
      </c>
      <c r="D12" s="6" t="s">
        <v>113</v>
      </c>
      <c r="E12" s="3" t="n">
        <v>2</v>
      </c>
      <c r="F12" s="3" t="n">
        <v>8</v>
      </c>
      <c r="G12" s="6" t="s">
        <v>99</v>
      </c>
      <c r="H12" s="3"/>
      <c r="I12" s="6" t="s">
        <v>100</v>
      </c>
      <c r="J12" s="6" t="s">
        <v>180</v>
      </c>
      <c r="K12" s="6" t="s">
        <v>181</v>
      </c>
      <c r="L12" s="6" t="s">
        <v>182</v>
      </c>
      <c r="M12" s="6" t="s">
        <v>130</v>
      </c>
      <c r="N12" s="6" t="s">
        <v>183</v>
      </c>
      <c r="O12" s="6" t="s">
        <v>108</v>
      </c>
      <c r="P12" s="7" t="n">
        <v>12433</v>
      </c>
      <c r="Q12" s="7" t="n">
        <v>12423</v>
      </c>
      <c r="R12" s="8" t="n">
        <f aca="false">IF(OR(P12="",Q12="",P12=0),"",Q12/P12)</f>
        <v>0.999195688892464</v>
      </c>
      <c r="S12" s="7" t="n">
        <v>119</v>
      </c>
      <c r="T12" s="3"/>
      <c r="U12" s="3"/>
      <c r="V12" s="3" t="n">
        <v>10</v>
      </c>
      <c r="W12" s="6" t="s">
        <v>184</v>
      </c>
      <c r="X12" s="6" t="s">
        <v>108</v>
      </c>
      <c r="Y12" s="6" t="s">
        <v>185</v>
      </c>
      <c r="Z12" s="6" t="s">
        <v>186</v>
      </c>
      <c r="AA12" s="6" t="s">
        <v>187</v>
      </c>
      <c r="AB12" s="6" t="s">
        <v>103</v>
      </c>
    </row>
    <row r="13" customFormat="false" ht="15" hidden="false" customHeight="false" outlineLevel="0" collapsed="false">
      <c r="A13" s="6" t="s">
        <v>188</v>
      </c>
      <c r="B13" s="6" t="s">
        <v>189</v>
      </c>
      <c r="C13" s="6" t="s">
        <v>104</v>
      </c>
      <c r="D13" s="6" t="s">
        <v>113</v>
      </c>
      <c r="E13" s="3" t="n">
        <v>2</v>
      </c>
      <c r="F13" s="3" t="n">
        <v>9</v>
      </c>
      <c r="G13" s="6" t="s">
        <v>99</v>
      </c>
      <c r="H13" s="3"/>
      <c r="I13" s="6" t="s">
        <v>130</v>
      </c>
      <c r="J13" s="6" t="s">
        <v>114</v>
      </c>
      <c r="K13" s="3"/>
      <c r="L13" s="3"/>
      <c r="M13" s="6" t="s">
        <v>130</v>
      </c>
      <c r="N13" s="6" t="s">
        <v>190</v>
      </c>
      <c r="O13" s="6" t="s">
        <v>108</v>
      </c>
      <c r="P13" s="7" t="n">
        <v>12433</v>
      </c>
      <c r="Q13" s="7" t="n">
        <v>12416</v>
      </c>
      <c r="R13" s="8" t="n">
        <f aca="false">IF(OR(P13="",Q13="",P13=0),"",Q13/P13)</f>
        <v>0.998632671117188</v>
      </c>
      <c r="S13" s="7" t="n">
        <v>28</v>
      </c>
      <c r="T13" s="3"/>
      <c r="U13" s="3"/>
      <c r="V13" s="3" t="n">
        <v>22</v>
      </c>
      <c r="W13" s="6" t="s">
        <v>191</v>
      </c>
      <c r="X13" s="6" t="s">
        <v>108</v>
      </c>
      <c r="Y13" s="6" t="s">
        <v>192</v>
      </c>
      <c r="Z13" s="6" t="s">
        <v>193</v>
      </c>
      <c r="AA13" s="6" t="s">
        <v>194</v>
      </c>
      <c r="AB13" s="6" t="s">
        <v>103</v>
      </c>
    </row>
    <row r="14" customFormat="false" ht="15" hidden="false" customHeight="false" outlineLevel="0" collapsed="false">
      <c r="A14" s="6" t="s">
        <v>195</v>
      </c>
      <c r="B14" s="6" t="s">
        <v>196</v>
      </c>
      <c r="C14" s="6" t="s">
        <v>188</v>
      </c>
      <c r="D14" s="6" t="s">
        <v>143</v>
      </c>
      <c r="E14" s="3" t="n">
        <v>3</v>
      </c>
      <c r="F14" s="6" t="s">
        <v>144</v>
      </c>
      <c r="G14" s="6" t="s">
        <v>99</v>
      </c>
      <c r="H14" s="3"/>
      <c r="I14" s="6" t="s">
        <v>100</v>
      </c>
      <c r="J14" s="6" t="s">
        <v>145</v>
      </c>
      <c r="K14" s="6" t="s">
        <v>146</v>
      </c>
      <c r="L14" s="6" t="s">
        <v>116</v>
      </c>
      <c r="M14" s="6" t="s">
        <v>100</v>
      </c>
      <c r="N14" s="3"/>
      <c r="O14" s="6" t="s">
        <v>108</v>
      </c>
      <c r="P14" s="7" t="n">
        <v>12433</v>
      </c>
      <c r="Q14" s="7" t="n">
        <v>12433</v>
      </c>
      <c r="R14" s="8" t="n">
        <f aca="false">IF(OR(P14="",Q14="",P14=0),"",Q14/P14)</f>
        <v>1</v>
      </c>
      <c r="S14" s="7" t="n">
        <v>28</v>
      </c>
      <c r="T14" s="3" t="n">
        <v>1</v>
      </c>
      <c r="U14" s="3" t="n">
        <v>260</v>
      </c>
      <c r="V14" s="3"/>
      <c r="W14" s="6" t="s">
        <v>197</v>
      </c>
      <c r="X14" s="6" t="s">
        <v>108</v>
      </c>
      <c r="Y14" s="6" t="s">
        <v>198</v>
      </c>
      <c r="Z14" s="6" t="s">
        <v>199</v>
      </c>
      <c r="AA14" s="6"/>
      <c r="AB14" s="6" t="s">
        <v>103</v>
      </c>
    </row>
    <row r="15" customFormat="false" ht="15" hidden="false" customHeight="false" outlineLevel="0" collapsed="false">
      <c r="A15" s="6" t="s">
        <v>200</v>
      </c>
      <c r="B15" s="6" t="s">
        <v>201</v>
      </c>
      <c r="C15" s="6" t="s">
        <v>104</v>
      </c>
      <c r="D15" s="6" t="s">
        <v>113</v>
      </c>
      <c r="E15" s="3" t="n">
        <v>2</v>
      </c>
      <c r="F15" s="3" t="n">
        <v>10</v>
      </c>
      <c r="G15" s="6" t="s">
        <v>99</v>
      </c>
      <c r="H15" s="3"/>
      <c r="I15" s="6" t="s">
        <v>130</v>
      </c>
      <c r="J15" s="6" t="s">
        <v>114</v>
      </c>
      <c r="K15" s="3"/>
      <c r="L15" s="3"/>
      <c r="M15" s="6" t="s">
        <v>100</v>
      </c>
      <c r="N15" s="3"/>
      <c r="O15" s="6" t="s">
        <v>108</v>
      </c>
      <c r="P15" s="7" t="n">
        <v>12433</v>
      </c>
      <c r="Q15" s="7" t="n">
        <v>12433</v>
      </c>
      <c r="R15" s="8" t="n">
        <f aca="false">IF(OR(P15="",Q15="",P15=0),"",Q15/P15)</f>
        <v>1</v>
      </c>
      <c r="S15" s="7" t="n">
        <v>186</v>
      </c>
      <c r="T15" s="3"/>
      <c r="U15" s="3"/>
      <c r="V15" s="3" t="n">
        <v>26</v>
      </c>
      <c r="W15" s="6" t="s">
        <v>202</v>
      </c>
      <c r="X15" s="6" t="s">
        <v>108</v>
      </c>
      <c r="Y15" s="6" t="s">
        <v>203</v>
      </c>
      <c r="Z15" s="6" t="s">
        <v>204</v>
      </c>
      <c r="AA15" s="6" t="s">
        <v>205</v>
      </c>
      <c r="AB15" s="6" t="s">
        <v>103</v>
      </c>
    </row>
    <row r="16" customFormat="false" ht="15" hidden="false" customHeight="false" outlineLevel="0" collapsed="false">
      <c r="A16" s="6" t="s">
        <v>206</v>
      </c>
      <c r="B16" s="6" t="s">
        <v>207</v>
      </c>
      <c r="C16" s="6" t="s">
        <v>200</v>
      </c>
      <c r="D16" s="6" t="s">
        <v>143</v>
      </c>
      <c r="E16" s="3" t="n">
        <v>3</v>
      </c>
      <c r="F16" s="6" t="s">
        <v>144</v>
      </c>
      <c r="G16" s="6" t="s">
        <v>99</v>
      </c>
      <c r="H16" s="3"/>
      <c r="I16" s="6" t="s">
        <v>100</v>
      </c>
      <c r="J16" s="6" t="s">
        <v>145</v>
      </c>
      <c r="K16" s="6" t="s">
        <v>146</v>
      </c>
      <c r="L16" s="6" t="s">
        <v>116</v>
      </c>
      <c r="M16" s="6" t="s">
        <v>100</v>
      </c>
      <c r="N16" s="3"/>
      <c r="O16" s="6" t="s">
        <v>108</v>
      </c>
      <c r="P16" s="7" t="n">
        <v>12433</v>
      </c>
      <c r="Q16" s="7" t="n">
        <v>12433</v>
      </c>
      <c r="R16" s="8" t="n">
        <f aca="false">IF(OR(P16="",Q16="",P16=0),"",Q16/P16)</f>
        <v>1</v>
      </c>
      <c r="S16" s="7" t="n">
        <v>206</v>
      </c>
      <c r="T16" s="3" t="n">
        <v>999</v>
      </c>
      <c r="U16" s="3" t="n">
        <v>260030</v>
      </c>
      <c r="V16" s="3"/>
      <c r="W16" s="6" t="s">
        <v>208</v>
      </c>
      <c r="X16" s="6" t="s">
        <v>108</v>
      </c>
      <c r="Y16" s="6" t="s">
        <v>209</v>
      </c>
      <c r="Z16" s="6" t="s">
        <v>210</v>
      </c>
      <c r="AA16" s="6" t="s">
        <v>211</v>
      </c>
      <c r="AB16" s="6" t="s">
        <v>103</v>
      </c>
    </row>
    <row r="17" customFormat="false" ht="15" hidden="false" customHeight="false" outlineLevel="0" collapsed="false">
      <c r="A17" s="6" t="s">
        <v>212</v>
      </c>
      <c r="B17" s="6" t="s">
        <v>213</v>
      </c>
      <c r="C17" s="6" t="s">
        <v>104</v>
      </c>
      <c r="D17" s="6" t="s">
        <v>113</v>
      </c>
      <c r="E17" s="3" t="n">
        <v>2</v>
      </c>
      <c r="F17" s="3" t="n">
        <v>11</v>
      </c>
      <c r="G17" s="6" t="s">
        <v>99</v>
      </c>
      <c r="H17" s="3"/>
      <c r="I17" s="6" t="s">
        <v>130</v>
      </c>
      <c r="J17" s="6" t="s">
        <v>114</v>
      </c>
      <c r="K17" s="3"/>
      <c r="L17" s="3"/>
      <c r="M17" s="6" t="s">
        <v>100</v>
      </c>
      <c r="N17" s="3"/>
      <c r="O17" s="6" t="s">
        <v>108</v>
      </c>
      <c r="P17" s="7" t="n">
        <v>12433</v>
      </c>
      <c r="Q17" s="7" t="n">
        <v>12433</v>
      </c>
      <c r="R17" s="8" t="n">
        <f aca="false">IF(OR(P17="",Q17="",P17=0),"",Q17/P17)</f>
        <v>1</v>
      </c>
      <c r="S17" s="7" t="n">
        <v>78</v>
      </c>
      <c r="T17" s="3"/>
      <c r="U17" s="3"/>
      <c r="V17" s="3" t="n">
        <v>19</v>
      </c>
      <c r="W17" s="6" t="s">
        <v>214</v>
      </c>
      <c r="X17" s="6" t="s">
        <v>108</v>
      </c>
      <c r="Y17" s="6" t="s">
        <v>215</v>
      </c>
      <c r="Z17" s="6" t="s">
        <v>216</v>
      </c>
      <c r="AA17" s="6"/>
      <c r="AB17" s="6" t="s">
        <v>103</v>
      </c>
    </row>
    <row r="18" customFormat="false" ht="15" hidden="false" customHeight="false" outlineLevel="0" collapsed="false">
      <c r="A18" s="6" t="s">
        <v>217</v>
      </c>
      <c r="B18" s="6" t="s">
        <v>218</v>
      </c>
      <c r="C18" s="6" t="s">
        <v>104</v>
      </c>
      <c r="D18" s="6" t="s">
        <v>113</v>
      </c>
      <c r="E18" s="3" t="n">
        <v>2</v>
      </c>
      <c r="F18" s="3" t="n">
        <v>12</v>
      </c>
      <c r="G18" s="6" t="s">
        <v>99</v>
      </c>
      <c r="H18" s="3"/>
      <c r="I18" s="6" t="s">
        <v>100</v>
      </c>
      <c r="J18" s="6" t="s">
        <v>219</v>
      </c>
      <c r="K18" s="6" t="s">
        <v>146</v>
      </c>
      <c r="L18" s="6" t="s">
        <v>116</v>
      </c>
      <c r="M18" s="6" t="s">
        <v>100</v>
      </c>
      <c r="N18" s="3"/>
      <c r="O18" s="6" t="s">
        <v>108</v>
      </c>
      <c r="P18" s="7" t="n">
        <v>12433</v>
      </c>
      <c r="Q18" s="7" t="n">
        <v>12433</v>
      </c>
      <c r="R18" s="8" t="n">
        <f aca="false">IF(OR(P18="",Q18="",P18=0),"",Q18/P18)</f>
        <v>1</v>
      </c>
      <c r="S18" s="7" t="n">
        <v>1097</v>
      </c>
      <c r="T18" s="3" t="n">
        <v>1</v>
      </c>
      <c r="U18" s="3" t="n">
        <v>6417180</v>
      </c>
      <c r="V18" s="3" t="n">
        <v>7</v>
      </c>
      <c r="W18" s="6" t="s">
        <v>220</v>
      </c>
      <c r="X18" s="6" t="s">
        <v>108</v>
      </c>
      <c r="Y18" s="6" t="s">
        <v>221</v>
      </c>
      <c r="Z18" s="6" t="s">
        <v>222</v>
      </c>
      <c r="AA18" s="6"/>
      <c r="AB18" s="6" t="s">
        <v>103</v>
      </c>
    </row>
    <row r="19" customFormat="false" ht="23.85" hidden="false" customHeight="false" outlineLevel="0" collapsed="false">
      <c r="A19" s="6" t="s">
        <v>223</v>
      </c>
      <c r="B19" s="6" t="s">
        <v>224</v>
      </c>
      <c r="C19" s="6" t="s">
        <v>104</v>
      </c>
      <c r="D19" s="6" t="s">
        <v>113</v>
      </c>
      <c r="E19" s="3" t="n">
        <v>2</v>
      </c>
      <c r="F19" s="3" t="n">
        <v>13</v>
      </c>
      <c r="G19" s="6" t="s">
        <v>99</v>
      </c>
      <c r="H19" s="3"/>
      <c r="I19" s="6" t="s">
        <v>100</v>
      </c>
      <c r="J19" s="6" t="s">
        <v>219</v>
      </c>
      <c r="K19" s="6" t="s">
        <v>146</v>
      </c>
      <c r="L19" s="6" t="s">
        <v>116</v>
      </c>
      <c r="M19" s="6" t="s">
        <v>100</v>
      </c>
      <c r="N19" s="6" t="s">
        <v>225</v>
      </c>
      <c r="O19" s="6" t="s">
        <v>108</v>
      </c>
      <c r="P19" s="7" t="n">
        <v>12433</v>
      </c>
      <c r="Q19" s="7" t="n">
        <v>12433</v>
      </c>
      <c r="R19" s="8" t="n">
        <f aca="false">IF(OR(P19="",Q19="",P19=0),"",Q19/P19)</f>
        <v>1</v>
      </c>
      <c r="S19" s="7" t="n">
        <v>410</v>
      </c>
      <c r="T19" s="3" t="n">
        <v>0</v>
      </c>
      <c r="U19" s="3" t="n">
        <v>238190</v>
      </c>
      <c r="V19" s="3" t="n">
        <v>6</v>
      </c>
      <c r="W19" s="6" t="s">
        <v>226</v>
      </c>
      <c r="X19" s="6" t="s">
        <v>108</v>
      </c>
      <c r="Y19" s="6" t="s">
        <v>227</v>
      </c>
      <c r="Z19" s="6" t="s">
        <v>228</v>
      </c>
      <c r="AA19" s="6" t="s">
        <v>229</v>
      </c>
      <c r="AB19" s="6" t="s">
        <v>103</v>
      </c>
    </row>
    <row r="20" customFormat="false" ht="15" hidden="false" customHeight="false" outlineLevel="0" collapsed="false">
      <c r="A20" s="6" t="s">
        <v>230</v>
      </c>
      <c r="B20" s="6" t="s">
        <v>231</v>
      </c>
      <c r="C20" s="6" t="s">
        <v>104</v>
      </c>
      <c r="D20" s="6" t="s">
        <v>113</v>
      </c>
      <c r="E20" s="3" t="n">
        <v>2</v>
      </c>
      <c r="F20" s="3" t="n">
        <v>14</v>
      </c>
      <c r="G20" s="6" t="s">
        <v>99</v>
      </c>
      <c r="H20" s="3"/>
      <c r="I20" s="6" t="s">
        <v>100</v>
      </c>
      <c r="J20" s="6" t="s">
        <v>219</v>
      </c>
      <c r="K20" s="6" t="s">
        <v>146</v>
      </c>
      <c r="L20" s="6" t="s">
        <v>116</v>
      </c>
      <c r="M20" s="6" t="s">
        <v>100</v>
      </c>
      <c r="N20" s="3"/>
      <c r="O20" s="6" t="s">
        <v>108</v>
      </c>
      <c r="P20" s="7" t="n">
        <v>12433</v>
      </c>
      <c r="Q20" s="7" t="n">
        <v>12433</v>
      </c>
      <c r="R20" s="8" t="n">
        <f aca="false">IF(OR(P20="",Q20="",P20=0),"",Q20/P20)</f>
        <v>1</v>
      </c>
      <c r="S20" s="7" t="n">
        <v>717</v>
      </c>
      <c r="T20" s="3" t="n">
        <v>10</v>
      </c>
      <c r="U20" s="3" t="n">
        <v>9055990</v>
      </c>
      <c r="V20" s="3" t="n">
        <v>7</v>
      </c>
      <c r="W20" s="6" t="s">
        <v>232</v>
      </c>
      <c r="X20" s="6" t="s">
        <v>108</v>
      </c>
      <c r="Y20" s="6" t="s">
        <v>233</v>
      </c>
      <c r="Z20" s="6" t="s">
        <v>234</v>
      </c>
      <c r="AA20" s="6"/>
      <c r="AB20" s="6" t="s">
        <v>103</v>
      </c>
    </row>
    <row r="21" customFormat="false" ht="15" hidden="false" customHeight="false" outlineLevel="0" collapsed="false">
      <c r="A21" s="6" t="s">
        <v>235</v>
      </c>
      <c r="B21" s="6" t="s">
        <v>236</v>
      </c>
      <c r="C21" s="6" t="s">
        <v>104</v>
      </c>
      <c r="D21" s="6" t="s">
        <v>113</v>
      </c>
      <c r="E21" s="3" t="n">
        <v>2</v>
      </c>
      <c r="F21" s="3" t="n">
        <v>15</v>
      </c>
      <c r="G21" s="6" t="s">
        <v>99</v>
      </c>
      <c r="H21" s="3"/>
      <c r="I21" s="6" t="s">
        <v>100</v>
      </c>
      <c r="J21" s="6" t="s">
        <v>219</v>
      </c>
      <c r="K21" s="6" t="s">
        <v>146</v>
      </c>
      <c r="L21" s="6" t="s">
        <v>116</v>
      </c>
      <c r="M21" s="6" t="s">
        <v>100</v>
      </c>
      <c r="N21" s="6" t="s">
        <v>237</v>
      </c>
      <c r="O21" s="6" t="s">
        <v>108</v>
      </c>
      <c r="P21" s="7" t="n">
        <v>12433</v>
      </c>
      <c r="Q21" s="7" t="n">
        <v>12433</v>
      </c>
      <c r="R21" s="8" t="n">
        <f aca="false">IF(OR(P21="",Q21="",P21=0),"",Q21/P21)</f>
        <v>1</v>
      </c>
      <c r="S21" s="7" t="n">
        <v>423</v>
      </c>
      <c r="T21" s="3" t="n">
        <v>0</v>
      </c>
      <c r="U21" s="3" t="n">
        <v>333890</v>
      </c>
      <c r="V21" s="3" t="n">
        <v>6</v>
      </c>
      <c r="W21" s="6" t="s">
        <v>238</v>
      </c>
      <c r="X21" s="6" t="s">
        <v>108</v>
      </c>
      <c r="Y21" s="6" t="s">
        <v>239</v>
      </c>
      <c r="Z21" s="6" t="s">
        <v>240</v>
      </c>
      <c r="AA21" s="6" t="s">
        <v>229</v>
      </c>
      <c r="AB21" s="6" t="s">
        <v>103</v>
      </c>
    </row>
    <row r="22" customFormat="false" ht="15" hidden="false" customHeight="false" outlineLevel="0" collapsed="false">
      <c r="A22" s="6" t="s">
        <v>241</v>
      </c>
      <c r="B22" s="6" t="s">
        <v>242</v>
      </c>
      <c r="C22" s="6" t="s">
        <v>104</v>
      </c>
      <c r="D22" s="6" t="s">
        <v>113</v>
      </c>
      <c r="E22" s="3" t="n">
        <v>2</v>
      </c>
      <c r="F22" s="3" t="n">
        <v>16</v>
      </c>
      <c r="G22" s="6" t="s">
        <v>99</v>
      </c>
      <c r="H22" s="3"/>
      <c r="I22" s="6" t="s">
        <v>100</v>
      </c>
      <c r="J22" s="6" t="s">
        <v>145</v>
      </c>
      <c r="K22" s="6" t="s">
        <v>146</v>
      </c>
      <c r="L22" s="6" t="s">
        <v>116</v>
      </c>
      <c r="M22" s="6" t="s">
        <v>100</v>
      </c>
      <c r="N22" s="3"/>
      <c r="O22" s="6" t="s">
        <v>108</v>
      </c>
      <c r="P22" s="7" t="n">
        <v>12433</v>
      </c>
      <c r="Q22" s="7" t="n">
        <v>12433</v>
      </c>
      <c r="R22" s="8" t="n">
        <f aca="false">IF(OR(P22="",Q22="",P22=0),"",Q22/P22)</f>
        <v>1</v>
      </c>
      <c r="S22" s="7" t="n">
        <v>15</v>
      </c>
      <c r="T22" s="3" t="n">
        <v>1</v>
      </c>
      <c r="U22" s="3" t="n">
        <v>1000</v>
      </c>
      <c r="V22" s="3" t="n">
        <v>4</v>
      </c>
      <c r="W22" s="6" t="s">
        <v>243</v>
      </c>
      <c r="X22" s="6" t="s">
        <v>108</v>
      </c>
      <c r="Y22" s="6" t="s">
        <v>244</v>
      </c>
      <c r="Z22" s="6" t="s">
        <v>245</v>
      </c>
      <c r="AA22" s="6" t="s">
        <v>246</v>
      </c>
      <c r="AB22" s="6" t="s">
        <v>247</v>
      </c>
    </row>
    <row r="23" customFormat="false" ht="15" hidden="false" customHeight="false" outlineLevel="0" collapsed="false">
      <c r="A23" s="6" t="s">
        <v>248</v>
      </c>
      <c r="B23" s="6" t="s">
        <v>249</v>
      </c>
      <c r="C23" s="6" t="s">
        <v>104</v>
      </c>
      <c r="D23" s="6" t="s">
        <v>113</v>
      </c>
      <c r="E23" s="3" t="n">
        <v>2</v>
      </c>
      <c r="F23" s="3" t="n">
        <v>17</v>
      </c>
      <c r="G23" s="6" t="s">
        <v>99</v>
      </c>
      <c r="H23" s="3"/>
      <c r="I23" s="6" t="s">
        <v>100</v>
      </c>
      <c r="J23" s="6" t="s">
        <v>145</v>
      </c>
      <c r="K23" s="6" t="s">
        <v>146</v>
      </c>
      <c r="L23" s="6" t="s">
        <v>116</v>
      </c>
      <c r="M23" s="6" t="s">
        <v>100</v>
      </c>
      <c r="N23" s="3"/>
      <c r="O23" s="6" t="s">
        <v>108</v>
      </c>
      <c r="P23" s="7" t="n">
        <v>12433</v>
      </c>
      <c r="Q23" s="7" t="n">
        <v>12433</v>
      </c>
      <c r="R23" s="8" t="n">
        <f aca="false">IF(OR(P23="",Q23="",P23=0),"",Q23/P23)</f>
        <v>1</v>
      </c>
      <c r="S23" s="7" t="n">
        <v>8</v>
      </c>
      <c r="T23" s="3" t="n">
        <v>0</v>
      </c>
      <c r="U23" s="3" t="n">
        <v>100</v>
      </c>
      <c r="V23" s="3" t="n">
        <v>3</v>
      </c>
      <c r="W23" s="6" t="s">
        <v>243</v>
      </c>
      <c r="X23" s="6" t="s">
        <v>108</v>
      </c>
      <c r="Y23" s="6" t="s">
        <v>250</v>
      </c>
      <c r="Z23" s="6" t="s">
        <v>251</v>
      </c>
      <c r="AA23" s="6" t="s">
        <v>252</v>
      </c>
      <c r="AB23" s="6" t="s">
        <v>247</v>
      </c>
    </row>
    <row r="24" customFormat="false" ht="15" hidden="false" customHeight="false" outlineLevel="0" collapsed="false">
      <c r="A24" s="6" t="s">
        <v>253</v>
      </c>
      <c r="B24" s="6" t="s">
        <v>254</v>
      </c>
      <c r="C24" s="6" t="s">
        <v>104</v>
      </c>
      <c r="D24" s="6" t="s">
        <v>113</v>
      </c>
      <c r="E24" s="3" t="n">
        <v>2</v>
      </c>
      <c r="F24" s="3" t="n">
        <v>18</v>
      </c>
      <c r="G24" s="6" t="s">
        <v>99</v>
      </c>
      <c r="H24" s="3"/>
      <c r="I24" s="6" t="s">
        <v>100</v>
      </c>
      <c r="J24" s="6" t="s">
        <v>145</v>
      </c>
      <c r="K24" s="6" t="s">
        <v>146</v>
      </c>
      <c r="L24" s="6" t="s">
        <v>116</v>
      </c>
      <c r="M24" s="6" t="s">
        <v>100</v>
      </c>
      <c r="N24" s="3"/>
      <c r="O24" s="6" t="s">
        <v>108</v>
      </c>
      <c r="P24" s="7" t="n">
        <v>12433</v>
      </c>
      <c r="Q24" s="7" t="n">
        <v>12433</v>
      </c>
      <c r="R24" s="8" t="n">
        <f aca="false">IF(OR(P24="",Q24="",P24=0),"",Q24/P24)</f>
        <v>1</v>
      </c>
      <c r="S24" s="7" t="n">
        <v>121</v>
      </c>
      <c r="T24" s="3" t="n">
        <v>1</v>
      </c>
      <c r="U24" s="3" t="n">
        <v>290000</v>
      </c>
      <c r="V24" s="3" t="n">
        <v>6</v>
      </c>
      <c r="W24" s="6" t="s">
        <v>255</v>
      </c>
      <c r="X24" s="6" t="s">
        <v>108</v>
      </c>
      <c r="Y24" s="6" t="s">
        <v>256</v>
      </c>
      <c r="Z24" s="6" t="s">
        <v>257</v>
      </c>
      <c r="AA24" s="6" t="s">
        <v>258</v>
      </c>
      <c r="AB24" s="6" t="s">
        <v>103</v>
      </c>
    </row>
    <row r="25" customFormat="false" ht="15" hidden="false" customHeight="false" outlineLevel="0" collapsed="false">
      <c r="A25" s="6" t="s">
        <v>259</v>
      </c>
      <c r="B25" s="6" t="s">
        <v>260</v>
      </c>
      <c r="C25" s="6" t="s">
        <v>104</v>
      </c>
      <c r="D25" s="6" t="s">
        <v>113</v>
      </c>
      <c r="E25" s="3" t="n">
        <v>2</v>
      </c>
      <c r="F25" s="3" t="n">
        <v>19</v>
      </c>
      <c r="G25" s="6" t="s">
        <v>99</v>
      </c>
      <c r="H25" s="3"/>
      <c r="I25" s="6" t="s">
        <v>100</v>
      </c>
      <c r="J25" s="6" t="s">
        <v>261</v>
      </c>
      <c r="K25" s="6" t="s">
        <v>262</v>
      </c>
      <c r="L25" s="6" t="s">
        <v>116</v>
      </c>
      <c r="M25" s="6" t="s">
        <v>100</v>
      </c>
      <c r="N25" s="6" t="s">
        <v>263</v>
      </c>
      <c r="O25" s="6" t="s">
        <v>108</v>
      </c>
      <c r="P25" s="7" t="n">
        <v>12433</v>
      </c>
      <c r="Q25" s="7" t="n">
        <v>12433</v>
      </c>
      <c r="R25" s="8" t="n">
        <f aca="false">IF(OR(P25="",Q25="",P25=0),"",Q25/P25)</f>
        <v>1</v>
      </c>
      <c r="S25" s="7" t="n">
        <v>752</v>
      </c>
      <c r="T25" s="3" t="n">
        <v>0</v>
      </c>
      <c r="U25" s="3" t="n">
        <v>377</v>
      </c>
      <c r="V25" s="3" t="n">
        <v>8</v>
      </c>
      <c r="W25" s="6" t="s">
        <v>264</v>
      </c>
      <c r="X25" s="6" t="s">
        <v>108</v>
      </c>
      <c r="Y25" s="6" t="s">
        <v>265</v>
      </c>
      <c r="Z25" s="6" t="s">
        <v>266</v>
      </c>
      <c r="AA25" s="6" t="s">
        <v>267</v>
      </c>
      <c r="AB25" s="6" t="s">
        <v>247</v>
      </c>
    </row>
    <row r="26" customFormat="false" ht="15" hidden="false" customHeight="false" outlineLevel="0" collapsed="false">
      <c r="A26" s="6" t="s">
        <v>268</v>
      </c>
      <c r="B26" s="6" t="s">
        <v>269</v>
      </c>
      <c r="C26" s="6" t="s">
        <v>104</v>
      </c>
      <c r="D26" s="6" t="s">
        <v>113</v>
      </c>
      <c r="E26" s="3" t="n">
        <v>2</v>
      </c>
      <c r="F26" s="3" t="n">
        <v>20</v>
      </c>
      <c r="G26" s="6" t="s">
        <v>99</v>
      </c>
      <c r="H26" s="3"/>
      <c r="I26" s="6" t="s">
        <v>100</v>
      </c>
      <c r="J26" s="6" t="s">
        <v>261</v>
      </c>
      <c r="K26" s="6" t="s">
        <v>262</v>
      </c>
      <c r="L26" s="6" t="s">
        <v>116</v>
      </c>
      <c r="M26" s="6" t="s">
        <v>100</v>
      </c>
      <c r="N26" s="6" t="s">
        <v>263</v>
      </c>
      <c r="O26" s="6" t="s">
        <v>108</v>
      </c>
      <c r="P26" s="7" t="n">
        <v>12433</v>
      </c>
      <c r="Q26" s="7" t="n">
        <v>12433</v>
      </c>
      <c r="R26" s="8" t="n">
        <f aca="false">IF(OR(P26="",Q26="",P26=0),"",Q26/P26)</f>
        <v>1</v>
      </c>
      <c r="S26" s="7" t="n">
        <v>887</v>
      </c>
      <c r="T26" s="3" t="n">
        <v>0</v>
      </c>
      <c r="U26" s="3" t="n">
        <v>3.168</v>
      </c>
      <c r="V26" s="3" t="n">
        <v>6</v>
      </c>
      <c r="W26" s="6" t="s">
        <v>270</v>
      </c>
      <c r="X26" s="6" t="s">
        <v>108</v>
      </c>
      <c r="Y26" s="6" t="s">
        <v>271</v>
      </c>
      <c r="Z26" s="6" t="s">
        <v>272</v>
      </c>
      <c r="AA26" s="6" t="s">
        <v>273</v>
      </c>
      <c r="AB26" s="6" t="s">
        <v>247</v>
      </c>
    </row>
    <row r="27" customFormat="false" ht="23.85" hidden="false" customHeight="false" outlineLevel="0" collapsed="false">
      <c r="A27" s="6" t="s">
        <v>274</v>
      </c>
      <c r="B27" s="6" t="s">
        <v>275</v>
      </c>
      <c r="C27" s="6" t="s">
        <v>104</v>
      </c>
      <c r="D27" s="6" t="s">
        <v>113</v>
      </c>
      <c r="E27" s="3" t="n">
        <v>2</v>
      </c>
      <c r="F27" s="3" t="n">
        <v>21</v>
      </c>
      <c r="G27" s="6" t="s">
        <v>99</v>
      </c>
      <c r="H27" s="3"/>
      <c r="I27" s="6" t="s">
        <v>100</v>
      </c>
      <c r="J27" s="6" t="s">
        <v>276</v>
      </c>
      <c r="K27" s="6" t="s">
        <v>277</v>
      </c>
      <c r="L27" s="6" t="s">
        <v>116</v>
      </c>
      <c r="M27" s="6" t="s">
        <v>100</v>
      </c>
      <c r="N27" s="6" t="s">
        <v>278</v>
      </c>
      <c r="O27" s="6" t="s">
        <v>108</v>
      </c>
      <c r="P27" s="7" t="n">
        <v>12433</v>
      </c>
      <c r="Q27" s="7" t="n">
        <v>12433</v>
      </c>
      <c r="R27" s="8" t="n">
        <f aca="false">IF(OR(P27="",Q27="",P27=0),"",Q27/P27)</f>
        <v>1</v>
      </c>
      <c r="S27" s="7" t="n">
        <v>1435</v>
      </c>
      <c r="T27" s="3"/>
      <c r="U27" s="3"/>
      <c r="V27" s="3" t="n">
        <v>19</v>
      </c>
      <c r="W27" s="6" t="s">
        <v>279</v>
      </c>
      <c r="X27" s="6" t="s">
        <v>108</v>
      </c>
      <c r="Y27" s="6" t="s">
        <v>280</v>
      </c>
      <c r="Z27" s="6" t="s">
        <v>281</v>
      </c>
      <c r="AA27" s="6" t="s">
        <v>282</v>
      </c>
      <c r="AB27" s="6" t="s">
        <v>103</v>
      </c>
    </row>
    <row r="28" customFormat="false" ht="15" hidden="false" customHeight="false" outlineLevel="0" collapsed="false">
      <c r="A28" s="6" t="s">
        <v>283</v>
      </c>
      <c r="B28" s="6" t="s">
        <v>284</v>
      </c>
      <c r="C28" s="6" t="s">
        <v>104</v>
      </c>
      <c r="D28" s="6" t="s">
        <v>113</v>
      </c>
      <c r="E28" s="3" t="n">
        <v>2</v>
      </c>
      <c r="F28" s="3" t="n">
        <v>22</v>
      </c>
      <c r="G28" s="6" t="s">
        <v>99</v>
      </c>
      <c r="H28" s="3"/>
      <c r="I28" s="6" t="s">
        <v>100</v>
      </c>
      <c r="J28" s="6" t="s">
        <v>285</v>
      </c>
      <c r="K28" s="6" t="s">
        <v>286</v>
      </c>
      <c r="L28" s="6" t="s">
        <v>116</v>
      </c>
      <c r="M28" s="6" t="s">
        <v>100</v>
      </c>
      <c r="N28" s="3"/>
      <c r="O28" s="6" t="s">
        <v>108</v>
      </c>
      <c r="P28" s="7" t="n">
        <v>12433</v>
      </c>
      <c r="Q28" s="7" t="n">
        <v>12433</v>
      </c>
      <c r="R28" s="8" t="n">
        <f aca="false">IF(OR(P28="",Q28="",P28=0),"",Q28/P28)</f>
        <v>1</v>
      </c>
      <c r="S28" s="7" t="n">
        <v>3</v>
      </c>
      <c r="T28" s="3" t="n">
        <v>0</v>
      </c>
      <c r="U28" s="3" t="n">
        <v>2</v>
      </c>
      <c r="V28" s="3" t="n">
        <v>1</v>
      </c>
      <c r="W28" s="6" t="s">
        <v>243</v>
      </c>
      <c r="X28" s="6" t="s">
        <v>108</v>
      </c>
      <c r="Y28" s="6" t="s">
        <v>287</v>
      </c>
      <c r="Z28" s="6" t="s">
        <v>288</v>
      </c>
      <c r="AA28" s="6" t="s">
        <v>289</v>
      </c>
      <c r="AB28" s="6" t="s">
        <v>290</v>
      </c>
    </row>
    <row r="29" customFormat="false" ht="35.05" hidden="false" customHeight="false" outlineLevel="0" collapsed="false">
      <c r="A29" s="6" t="s">
        <v>291</v>
      </c>
      <c r="B29" s="6" t="s">
        <v>292</v>
      </c>
      <c r="C29" s="6" t="s">
        <v>104</v>
      </c>
      <c r="D29" s="6" t="s">
        <v>113</v>
      </c>
      <c r="E29" s="3" t="n">
        <v>2</v>
      </c>
      <c r="F29" s="3" t="n">
        <v>23</v>
      </c>
      <c r="G29" s="6" t="s">
        <v>99</v>
      </c>
      <c r="H29" s="3"/>
      <c r="I29" s="6" t="s">
        <v>130</v>
      </c>
      <c r="J29" s="6" t="s">
        <v>293</v>
      </c>
      <c r="K29" s="3"/>
      <c r="L29" s="3"/>
      <c r="M29" s="6" t="s">
        <v>130</v>
      </c>
      <c r="N29" s="6" t="s">
        <v>294</v>
      </c>
      <c r="O29" s="6" t="s">
        <v>108</v>
      </c>
      <c r="P29" s="7" t="n">
        <v>12433</v>
      </c>
      <c r="Q29" s="7" t="n">
        <v>12386</v>
      </c>
      <c r="R29" s="8" t="n">
        <f aca="false">IF(OR(P29="",Q29="",P29=0),"",Q29/P29)</f>
        <v>0.996219737794579</v>
      </c>
      <c r="S29" s="7" t="n">
        <v>3484</v>
      </c>
      <c r="T29" s="3"/>
      <c r="U29" s="3"/>
      <c r="V29" s="3" t="n">
        <v>11098</v>
      </c>
      <c r="W29" s="6" t="s">
        <v>295</v>
      </c>
      <c r="X29" s="6" t="s">
        <v>108</v>
      </c>
      <c r="Y29" s="6" t="s">
        <v>296</v>
      </c>
      <c r="Z29" s="6" t="s">
        <v>297</v>
      </c>
      <c r="AA29" s="6" t="s">
        <v>298</v>
      </c>
      <c r="AB29" s="6" t="s">
        <v>103</v>
      </c>
    </row>
    <row r="30" customFormat="false" ht="15" hidden="false" customHeight="false" outlineLevel="0" collapsed="false">
      <c r="A30" s="6" t="s">
        <v>299</v>
      </c>
      <c r="B30" s="6" t="s">
        <v>300</v>
      </c>
      <c r="C30" s="6" t="s">
        <v>104</v>
      </c>
      <c r="D30" s="6" t="s">
        <v>301</v>
      </c>
      <c r="E30" s="3" t="n">
        <v>2</v>
      </c>
      <c r="F30" s="3" t="n">
        <v>24</v>
      </c>
      <c r="G30" s="6" t="s">
        <v>99</v>
      </c>
      <c r="H30" s="3"/>
      <c r="I30" s="6" t="s">
        <v>100</v>
      </c>
      <c r="J30" s="6" t="s">
        <v>101</v>
      </c>
      <c r="K30" s="3"/>
      <c r="L30" s="3"/>
      <c r="M30" s="6" t="s">
        <v>100</v>
      </c>
      <c r="N30" s="3"/>
      <c r="O30" s="6" t="s">
        <v>108</v>
      </c>
      <c r="P30" s="7" t="n">
        <v>12433</v>
      </c>
      <c r="Q30" s="7"/>
      <c r="R30" s="8" t="str">
        <f aca="false">IF(OR(P30="",Q30="",P30=0),"",Q30/P30)</f>
        <v/>
      </c>
      <c r="S30" s="7"/>
      <c r="T30" s="3"/>
      <c r="U30" s="3"/>
      <c r="V30" s="3"/>
      <c r="W30" s="3"/>
      <c r="X30" s="6" t="s">
        <v>302</v>
      </c>
      <c r="Y30" s="6" t="s">
        <v>303</v>
      </c>
      <c r="Z30" s="6" t="s">
        <v>304</v>
      </c>
      <c r="AA30" s="6"/>
      <c r="AB30" s="6" t="s">
        <v>103</v>
      </c>
    </row>
    <row r="31" customFormat="false" ht="35.05" hidden="false" customHeight="false" outlineLevel="0" collapsed="false">
      <c r="A31" s="6" t="s">
        <v>305</v>
      </c>
      <c r="B31" s="6" t="s">
        <v>306</v>
      </c>
      <c r="C31" s="6" t="s">
        <v>299</v>
      </c>
      <c r="D31" s="6" t="s">
        <v>307</v>
      </c>
      <c r="E31" s="3" t="n">
        <v>3</v>
      </c>
      <c r="F31" s="3" t="n">
        <v>1</v>
      </c>
      <c r="G31" s="6" t="s">
        <v>308</v>
      </c>
      <c r="H31" s="6" t="s">
        <v>309</v>
      </c>
      <c r="I31" s="6" t="s">
        <v>100</v>
      </c>
      <c r="J31" s="6" t="s">
        <v>152</v>
      </c>
      <c r="K31" s="6" t="s">
        <v>310</v>
      </c>
      <c r="L31" s="6" t="s">
        <v>311</v>
      </c>
      <c r="M31" s="6" t="s">
        <v>130</v>
      </c>
      <c r="N31" s="6" t="s">
        <v>312</v>
      </c>
      <c r="O31" s="6" t="s">
        <v>313</v>
      </c>
      <c r="P31" s="7" t="n">
        <v>81441</v>
      </c>
      <c r="Q31" s="7" t="n">
        <v>68166</v>
      </c>
      <c r="R31" s="8" t="n">
        <f aca="false">IF(OR(P31="",Q31="",P31=0),"",Q31/P31)</f>
        <v>0.836998563377169</v>
      </c>
      <c r="S31" s="7"/>
      <c r="T31" s="3"/>
      <c r="U31" s="3"/>
      <c r="V31" s="3" t="n">
        <v>60</v>
      </c>
      <c r="W31" s="6" t="s">
        <v>314</v>
      </c>
      <c r="X31" s="6" t="s">
        <v>302</v>
      </c>
      <c r="Y31" s="6" t="s">
        <v>152</v>
      </c>
      <c r="Z31" s="6" t="s">
        <v>315</v>
      </c>
      <c r="AA31" s="6" t="s">
        <v>316</v>
      </c>
      <c r="AB31" s="6" t="s">
        <v>103</v>
      </c>
    </row>
    <row r="32" customFormat="false" ht="15" hidden="false" customHeight="false" outlineLevel="0" collapsed="false">
      <c r="A32" s="6" t="s">
        <v>317</v>
      </c>
      <c r="B32" s="6" t="s">
        <v>318</v>
      </c>
      <c r="C32" s="6" t="s">
        <v>305</v>
      </c>
      <c r="D32" s="6" t="s">
        <v>143</v>
      </c>
      <c r="E32" s="3" t="n">
        <v>4</v>
      </c>
      <c r="F32" s="6" t="s">
        <v>144</v>
      </c>
      <c r="G32" s="6" t="s">
        <v>99</v>
      </c>
      <c r="H32" s="3"/>
      <c r="I32" s="6" t="s">
        <v>100</v>
      </c>
      <c r="J32" s="6" t="s">
        <v>319</v>
      </c>
      <c r="K32" s="3"/>
      <c r="L32" s="3"/>
      <c r="M32" s="6" t="s">
        <v>100</v>
      </c>
      <c r="N32" s="3"/>
      <c r="O32" s="6" t="s">
        <v>313</v>
      </c>
      <c r="P32" s="7" t="n">
        <v>81441</v>
      </c>
      <c r="Q32" s="7" t="n">
        <v>81441</v>
      </c>
      <c r="R32" s="8" t="n">
        <f aca="false">IF(OR(P32="",Q32="",P32=0),"",Q32/P32)</f>
        <v>1</v>
      </c>
      <c r="S32" s="7" t="n">
        <v>68</v>
      </c>
      <c r="T32" s="3"/>
      <c r="U32" s="3"/>
      <c r="V32" s="3" t="n">
        <v>9</v>
      </c>
      <c r="W32" s="6" t="s">
        <v>320</v>
      </c>
      <c r="X32" s="6" t="s">
        <v>302</v>
      </c>
      <c r="Y32" s="6" t="s">
        <v>321</v>
      </c>
      <c r="Z32" s="6" t="s">
        <v>322</v>
      </c>
      <c r="AA32" s="6"/>
      <c r="AB32" s="6" t="s">
        <v>103</v>
      </c>
    </row>
    <row r="33" customFormat="false" ht="23.85" hidden="false" customHeight="false" outlineLevel="0" collapsed="false">
      <c r="A33" s="6" t="s">
        <v>323</v>
      </c>
      <c r="B33" s="6" t="s">
        <v>324</v>
      </c>
      <c r="C33" s="6" t="s">
        <v>104</v>
      </c>
      <c r="D33" s="6" t="s">
        <v>113</v>
      </c>
      <c r="E33" s="3" t="n">
        <v>2</v>
      </c>
      <c r="F33" s="3" t="n">
        <v>25</v>
      </c>
      <c r="G33" s="6" t="s">
        <v>99</v>
      </c>
      <c r="H33" s="3"/>
      <c r="I33" s="6" t="s">
        <v>325</v>
      </c>
      <c r="J33" s="6" t="s">
        <v>326</v>
      </c>
      <c r="K33" s="6" t="s">
        <v>327</v>
      </c>
      <c r="L33" s="6" t="s">
        <v>328</v>
      </c>
      <c r="M33" s="6" t="s">
        <v>130</v>
      </c>
      <c r="N33" s="6" t="s">
        <v>329</v>
      </c>
      <c r="O33" s="6" t="s">
        <v>108</v>
      </c>
      <c r="P33" s="7" t="n">
        <v>12433</v>
      </c>
      <c r="Q33" s="7" t="n">
        <v>954</v>
      </c>
      <c r="R33" s="8" t="n">
        <f aca="false">IF(OR(P33="",Q33="",P33=0),"",Q33/P33)</f>
        <v>0.0767312796589721</v>
      </c>
      <c r="S33" s="7" t="n">
        <v>892</v>
      </c>
      <c r="T33" s="3"/>
      <c r="U33" s="3"/>
      <c r="V33" s="3" t="n">
        <v>73</v>
      </c>
      <c r="W33" s="6" t="s">
        <v>330</v>
      </c>
      <c r="X33" s="6" t="s">
        <v>108</v>
      </c>
      <c r="Y33" s="6" t="s">
        <v>331</v>
      </c>
      <c r="Z33" s="6" t="s">
        <v>332</v>
      </c>
      <c r="AA33" s="6" t="s">
        <v>333</v>
      </c>
      <c r="AB33" s="6" t="s">
        <v>103</v>
      </c>
    </row>
    <row r="34" customFormat="false" ht="15" hidden="false" customHeight="false" outlineLevel="0" collapsed="false">
      <c r="A34" s="6" t="s">
        <v>334</v>
      </c>
      <c r="B34" s="6" t="s">
        <v>335</v>
      </c>
      <c r="C34" s="6" t="s">
        <v>323</v>
      </c>
      <c r="D34" s="6" t="s">
        <v>143</v>
      </c>
      <c r="E34" s="3" t="n">
        <v>3</v>
      </c>
      <c r="F34" s="6" t="s">
        <v>144</v>
      </c>
      <c r="G34" s="6" t="s">
        <v>99</v>
      </c>
      <c r="H34" s="3"/>
      <c r="I34" s="6" t="s">
        <v>100</v>
      </c>
      <c r="J34" s="6" t="s">
        <v>114</v>
      </c>
      <c r="K34" s="3"/>
      <c r="L34" s="3"/>
      <c r="M34" s="6" t="s">
        <v>130</v>
      </c>
      <c r="N34" s="6" t="s">
        <v>329</v>
      </c>
      <c r="O34" s="6" t="s">
        <v>108</v>
      </c>
      <c r="P34" s="7" t="n">
        <v>12433</v>
      </c>
      <c r="Q34" s="7" t="n">
        <v>954</v>
      </c>
      <c r="R34" s="8" t="n">
        <f aca="false">IF(OR(P34="",Q34="",P34=0),"",Q34/P34)</f>
        <v>0.0767312796589721</v>
      </c>
      <c r="S34" s="7"/>
      <c r="T34" s="3"/>
      <c r="U34" s="3"/>
      <c r="V34" s="3" t="n">
        <v>100</v>
      </c>
      <c r="W34" s="6" t="s">
        <v>336</v>
      </c>
      <c r="X34" s="6" t="s">
        <v>108</v>
      </c>
      <c r="Y34" s="6" t="s">
        <v>337</v>
      </c>
      <c r="Z34" s="6" t="s">
        <v>338</v>
      </c>
      <c r="AA34" s="6" t="s">
        <v>339</v>
      </c>
      <c r="AB34" s="6" t="s">
        <v>103</v>
      </c>
    </row>
    <row r="35" customFormat="false" ht="15" hidden="false" customHeight="false" outlineLevel="0" collapsed="false">
      <c r="A35" s="6" t="s">
        <v>340</v>
      </c>
      <c r="B35" s="6" t="s">
        <v>341</v>
      </c>
      <c r="C35" s="6" t="s">
        <v>104</v>
      </c>
      <c r="D35" s="6" t="s">
        <v>301</v>
      </c>
      <c r="E35" s="3" t="n">
        <v>2</v>
      </c>
      <c r="F35" s="3" t="n">
        <v>26</v>
      </c>
      <c r="G35" s="6" t="s">
        <v>99</v>
      </c>
      <c r="H35" s="3"/>
      <c r="I35" s="6" t="s">
        <v>100</v>
      </c>
      <c r="J35" s="6" t="s">
        <v>101</v>
      </c>
      <c r="K35" s="3"/>
      <c r="L35" s="3"/>
      <c r="M35" s="6" t="s">
        <v>100</v>
      </c>
      <c r="N35" s="3"/>
      <c r="O35" s="6" t="s">
        <v>108</v>
      </c>
      <c r="P35" s="7" t="n">
        <v>12433</v>
      </c>
      <c r="Q35" s="7"/>
      <c r="R35" s="8" t="str">
        <f aca="false">IF(OR(P35="",Q35="",P35=0),"",Q35/P35)</f>
        <v/>
      </c>
      <c r="S35" s="7"/>
      <c r="T35" s="3"/>
      <c r="U35" s="3"/>
      <c r="V35" s="3"/>
      <c r="W35" s="3"/>
      <c r="X35" s="6" t="s">
        <v>342</v>
      </c>
      <c r="Y35" s="6" t="s">
        <v>303</v>
      </c>
      <c r="Z35" s="6" t="s">
        <v>343</v>
      </c>
      <c r="AA35" s="6"/>
      <c r="AB35" s="6" t="s">
        <v>103</v>
      </c>
    </row>
    <row r="36" customFormat="false" ht="23.85" hidden="false" customHeight="false" outlineLevel="0" collapsed="false">
      <c r="A36" s="6" t="s">
        <v>344</v>
      </c>
      <c r="B36" s="6" t="s">
        <v>345</v>
      </c>
      <c r="C36" s="6" t="s">
        <v>340</v>
      </c>
      <c r="D36" s="6" t="s">
        <v>307</v>
      </c>
      <c r="E36" s="3" t="n">
        <v>3</v>
      </c>
      <c r="F36" s="3" t="n">
        <v>1</v>
      </c>
      <c r="G36" s="6" t="s">
        <v>346</v>
      </c>
      <c r="H36" s="6" t="s">
        <v>309</v>
      </c>
      <c r="I36" s="6" t="s">
        <v>130</v>
      </c>
      <c r="J36" s="6" t="s">
        <v>114</v>
      </c>
      <c r="K36" s="3"/>
      <c r="L36" s="3"/>
      <c r="M36" s="6" t="s">
        <v>130</v>
      </c>
      <c r="N36" s="6" t="s">
        <v>347</v>
      </c>
      <c r="O36" s="6" t="s">
        <v>313</v>
      </c>
      <c r="P36" s="7" t="n">
        <v>2928</v>
      </c>
      <c r="Q36" s="7" t="n">
        <v>2668</v>
      </c>
      <c r="R36" s="8" t="n">
        <f aca="false">IF(OR(P36="",Q36="",P36=0),"",Q36/P36)</f>
        <v>0.91120218579235</v>
      </c>
      <c r="S36" s="7"/>
      <c r="T36" s="3"/>
      <c r="U36" s="3"/>
      <c r="V36" s="3" t="n">
        <v>884</v>
      </c>
      <c r="W36" s="6" t="s">
        <v>348</v>
      </c>
      <c r="X36" s="6" t="s">
        <v>342</v>
      </c>
      <c r="Y36" s="6" t="s">
        <v>349</v>
      </c>
      <c r="Z36" s="6" t="s">
        <v>350</v>
      </c>
      <c r="AA36" s="6"/>
      <c r="AB36" s="6" t="s">
        <v>103</v>
      </c>
    </row>
    <row r="37" customFormat="false" ht="23.85" hidden="false" customHeight="false" outlineLevel="0" collapsed="false">
      <c r="A37" s="6" t="s">
        <v>351</v>
      </c>
      <c r="B37" s="6" t="s">
        <v>352</v>
      </c>
      <c r="C37" s="6" t="s">
        <v>344</v>
      </c>
      <c r="D37" s="6" t="s">
        <v>143</v>
      </c>
      <c r="E37" s="3" t="n">
        <v>4</v>
      </c>
      <c r="F37" s="6" t="s">
        <v>144</v>
      </c>
      <c r="G37" s="6" t="s">
        <v>99</v>
      </c>
      <c r="H37" s="3"/>
      <c r="I37" s="6" t="s">
        <v>100</v>
      </c>
      <c r="J37" s="6" t="s">
        <v>145</v>
      </c>
      <c r="K37" s="3"/>
      <c r="L37" s="3"/>
      <c r="M37" s="6" t="s">
        <v>100</v>
      </c>
      <c r="N37" s="3"/>
      <c r="O37" s="6" t="s">
        <v>313</v>
      </c>
      <c r="P37" s="7" t="n">
        <v>2928</v>
      </c>
      <c r="Q37" s="7" t="n">
        <v>2928</v>
      </c>
      <c r="R37" s="8" t="n">
        <f aca="false">IF(OR(P37="",Q37="",P37=0),"",Q37/P37)</f>
        <v>1</v>
      </c>
      <c r="S37" s="7" t="n">
        <v>99</v>
      </c>
      <c r="T37" s="3"/>
      <c r="U37" s="3"/>
      <c r="V37" s="3"/>
      <c r="W37" s="6" t="s">
        <v>353</v>
      </c>
      <c r="X37" s="6" t="s">
        <v>342</v>
      </c>
      <c r="Y37" s="6" t="s">
        <v>354</v>
      </c>
      <c r="Z37" s="6" t="s">
        <v>355</v>
      </c>
      <c r="AA37" s="6"/>
      <c r="AB37" s="6" t="s">
        <v>103</v>
      </c>
    </row>
    <row r="38" customFormat="false" ht="23.85" hidden="false" customHeight="false" outlineLevel="0" collapsed="false">
      <c r="A38" s="6" t="s">
        <v>356</v>
      </c>
      <c r="B38" s="6" t="s">
        <v>357</v>
      </c>
      <c r="C38" s="6" t="s">
        <v>344</v>
      </c>
      <c r="D38" s="6" t="s">
        <v>143</v>
      </c>
      <c r="E38" s="3" t="n">
        <v>4</v>
      </c>
      <c r="F38" s="6" t="s">
        <v>144</v>
      </c>
      <c r="G38" s="6" t="s">
        <v>99</v>
      </c>
      <c r="H38" s="3"/>
      <c r="I38" s="6" t="s">
        <v>100</v>
      </c>
      <c r="J38" s="6" t="s">
        <v>114</v>
      </c>
      <c r="K38" s="3"/>
      <c r="L38" s="3"/>
      <c r="M38" s="6" t="s">
        <v>130</v>
      </c>
      <c r="N38" s="6" t="s">
        <v>358</v>
      </c>
      <c r="O38" s="6" t="s">
        <v>313</v>
      </c>
      <c r="P38" s="7" t="n">
        <v>2928</v>
      </c>
      <c r="Q38" s="7" t="n">
        <v>0</v>
      </c>
      <c r="R38" s="8" t="n">
        <f aca="false">IF(OR(P38="",Q38="",P38=0),"",Q38/P38)</f>
        <v>0</v>
      </c>
      <c r="S38" s="7" t="n">
        <v>1</v>
      </c>
      <c r="T38" s="3"/>
      <c r="U38" s="3"/>
      <c r="V38" s="3" t="n">
        <v>0</v>
      </c>
      <c r="W38" s="6" t="s">
        <v>359</v>
      </c>
      <c r="X38" s="3"/>
      <c r="Y38" s="6" t="s">
        <v>360</v>
      </c>
      <c r="Z38" s="6" t="s">
        <v>361</v>
      </c>
      <c r="AA38" s="6"/>
      <c r="AB38" s="6" t="s">
        <v>103</v>
      </c>
    </row>
    <row r="39" customFormat="false" ht="23.85" hidden="false" customHeight="false" outlineLevel="0" collapsed="false">
      <c r="A39" s="6" t="s">
        <v>362</v>
      </c>
      <c r="B39" s="6" t="s">
        <v>363</v>
      </c>
      <c r="C39" s="6" t="s">
        <v>104</v>
      </c>
      <c r="D39" s="6" t="s">
        <v>301</v>
      </c>
      <c r="E39" s="3" t="n">
        <v>2</v>
      </c>
      <c r="F39" s="3" t="n">
        <v>27</v>
      </c>
      <c r="G39" s="6" t="s">
        <v>99</v>
      </c>
      <c r="H39" s="3"/>
      <c r="I39" s="6" t="s">
        <v>100</v>
      </c>
      <c r="J39" s="6" t="s">
        <v>101</v>
      </c>
      <c r="K39" s="3"/>
      <c r="L39" s="3"/>
      <c r="M39" s="6" t="s">
        <v>100</v>
      </c>
      <c r="N39" s="3"/>
      <c r="O39" s="6" t="s">
        <v>108</v>
      </c>
      <c r="P39" s="7" t="n">
        <v>12433</v>
      </c>
      <c r="Q39" s="7"/>
      <c r="R39" s="8" t="str">
        <f aca="false">IF(OR(P39="",Q39="",P39=0),"",Q39/P39)</f>
        <v/>
      </c>
      <c r="S39" s="7"/>
      <c r="T39" s="3"/>
      <c r="U39" s="3"/>
      <c r="V39" s="3"/>
      <c r="W39" s="3"/>
      <c r="X39" s="6" t="s">
        <v>364</v>
      </c>
      <c r="Y39" s="6" t="s">
        <v>303</v>
      </c>
      <c r="Z39" s="6" t="s">
        <v>365</v>
      </c>
      <c r="AA39" s="6"/>
      <c r="AB39" s="6" t="s">
        <v>103</v>
      </c>
    </row>
    <row r="40" customFormat="false" ht="23.85" hidden="false" customHeight="false" outlineLevel="0" collapsed="false">
      <c r="A40" s="6" t="s">
        <v>366</v>
      </c>
      <c r="B40" s="6" t="s">
        <v>367</v>
      </c>
      <c r="C40" s="6" t="s">
        <v>362</v>
      </c>
      <c r="D40" s="6" t="s">
        <v>307</v>
      </c>
      <c r="E40" s="3" t="n">
        <v>3</v>
      </c>
      <c r="F40" s="3" t="n">
        <v>1</v>
      </c>
      <c r="G40" s="6" t="s">
        <v>368</v>
      </c>
      <c r="H40" s="6" t="s">
        <v>309</v>
      </c>
      <c r="I40" s="6" t="s">
        <v>130</v>
      </c>
      <c r="J40" s="6" t="s">
        <v>114</v>
      </c>
      <c r="K40" s="3"/>
      <c r="L40" s="3"/>
      <c r="M40" s="6" t="s">
        <v>130</v>
      </c>
      <c r="N40" s="6" t="s">
        <v>369</v>
      </c>
      <c r="O40" s="6" t="s">
        <v>313</v>
      </c>
      <c r="P40" s="7" t="n">
        <v>88439</v>
      </c>
      <c r="Q40" s="7" t="n">
        <v>54597</v>
      </c>
      <c r="R40" s="8" t="n">
        <f aca="false">IF(OR(P40="",Q40="",P40=0),"",Q40/P40)</f>
        <v>0.617340765951673</v>
      </c>
      <c r="S40" s="7"/>
      <c r="T40" s="3"/>
      <c r="U40" s="3"/>
      <c r="V40" s="3" t="n">
        <v>80</v>
      </c>
      <c r="W40" s="6" t="s">
        <v>370</v>
      </c>
      <c r="X40" s="6" t="s">
        <v>364</v>
      </c>
      <c r="Y40" s="6" t="s">
        <v>1</v>
      </c>
      <c r="Z40" s="6" t="s">
        <v>371</v>
      </c>
      <c r="AA40" s="6" t="s">
        <v>372</v>
      </c>
      <c r="AB40" s="6" t="s">
        <v>103</v>
      </c>
    </row>
    <row r="41" customFormat="false" ht="23.85" hidden="false" customHeight="false" outlineLevel="0" collapsed="false">
      <c r="A41" s="6" t="s">
        <v>373</v>
      </c>
      <c r="B41" s="6" t="s">
        <v>374</v>
      </c>
      <c r="C41" s="6" t="s">
        <v>366</v>
      </c>
      <c r="D41" s="6" t="s">
        <v>143</v>
      </c>
      <c r="E41" s="3" t="n">
        <v>4</v>
      </c>
      <c r="F41" s="6" t="s">
        <v>144</v>
      </c>
      <c r="G41" s="6" t="s">
        <v>99</v>
      </c>
      <c r="H41" s="3"/>
      <c r="I41" s="6" t="s">
        <v>100</v>
      </c>
      <c r="J41" s="6" t="s">
        <v>145</v>
      </c>
      <c r="K41" s="3"/>
      <c r="L41" s="3"/>
      <c r="M41" s="6" t="s">
        <v>100</v>
      </c>
      <c r="N41" s="3"/>
      <c r="O41" s="6" t="s">
        <v>313</v>
      </c>
      <c r="P41" s="7" t="n">
        <v>88439</v>
      </c>
      <c r="Q41" s="7" t="n">
        <v>88439</v>
      </c>
      <c r="R41" s="8" t="n">
        <f aca="false">IF(OR(P41="",Q41="",P41=0),"",Q41/P41)</f>
        <v>1</v>
      </c>
      <c r="S41" s="7" t="n">
        <v>37</v>
      </c>
      <c r="T41" s="3" t="n">
        <v>1</v>
      </c>
      <c r="U41" s="3" t="n">
        <v>40</v>
      </c>
      <c r="V41" s="3"/>
      <c r="W41" s="6" t="s">
        <v>375</v>
      </c>
      <c r="X41" s="6" t="s">
        <v>364</v>
      </c>
      <c r="Y41" s="6" t="s">
        <v>376</v>
      </c>
      <c r="Z41" s="6" t="s">
        <v>377</v>
      </c>
      <c r="AA41" s="6"/>
      <c r="AB41" s="6" t="s">
        <v>103</v>
      </c>
    </row>
    <row r="42" customFormat="false" ht="23.85" hidden="false" customHeight="false" outlineLevel="0" collapsed="false">
      <c r="A42" s="6" t="s">
        <v>378</v>
      </c>
      <c r="B42" s="6" t="s">
        <v>379</v>
      </c>
      <c r="C42" s="6" t="s">
        <v>366</v>
      </c>
      <c r="D42" s="6" t="s">
        <v>143</v>
      </c>
      <c r="E42" s="3" t="n">
        <v>4</v>
      </c>
      <c r="F42" s="6" t="s">
        <v>144</v>
      </c>
      <c r="G42" s="6" t="s">
        <v>99</v>
      </c>
      <c r="H42" s="3"/>
      <c r="I42" s="6" t="s">
        <v>100</v>
      </c>
      <c r="J42" s="6" t="s">
        <v>114</v>
      </c>
      <c r="K42" s="3"/>
      <c r="L42" s="3"/>
      <c r="M42" s="6" t="s">
        <v>100</v>
      </c>
      <c r="N42" s="3"/>
      <c r="O42" s="6" t="s">
        <v>313</v>
      </c>
      <c r="P42" s="7" t="n">
        <v>88439</v>
      </c>
      <c r="Q42" s="7" t="n">
        <v>88439</v>
      </c>
      <c r="R42" s="8" t="n">
        <f aca="false">IF(OR(P42="",Q42="",P42=0),"",Q42/P42)</f>
        <v>1</v>
      </c>
      <c r="S42" s="7" t="n">
        <v>37</v>
      </c>
      <c r="T42" s="3"/>
      <c r="U42" s="3"/>
      <c r="V42" s="3" t="n">
        <v>18</v>
      </c>
      <c r="W42" s="6" t="s">
        <v>380</v>
      </c>
      <c r="X42" s="6" t="s">
        <v>364</v>
      </c>
      <c r="Y42" s="6" t="s">
        <v>381</v>
      </c>
      <c r="Z42" s="6" t="s">
        <v>382</v>
      </c>
      <c r="AA42" s="6"/>
      <c r="AB42" s="6" t="s">
        <v>103</v>
      </c>
    </row>
    <row r="43" customFormat="false" ht="23.85" hidden="false" customHeight="false" outlineLevel="0" collapsed="false">
      <c r="A43" s="6" t="s">
        <v>383</v>
      </c>
      <c r="B43" s="6" t="s">
        <v>384</v>
      </c>
      <c r="C43" s="6" t="s">
        <v>104</v>
      </c>
      <c r="D43" s="6" t="s">
        <v>113</v>
      </c>
      <c r="E43" s="3" t="n">
        <v>2</v>
      </c>
      <c r="F43" s="3" t="n">
        <v>28</v>
      </c>
      <c r="G43" s="6" t="s">
        <v>99</v>
      </c>
      <c r="H43" s="3"/>
      <c r="I43" s="6" t="s">
        <v>100</v>
      </c>
      <c r="J43" s="6" t="s">
        <v>385</v>
      </c>
      <c r="K43" s="6" t="s">
        <v>386</v>
      </c>
      <c r="L43" s="6" t="s">
        <v>387</v>
      </c>
      <c r="M43" s="6" t="s">
        <v>130</v>
      </c>
      <c r="N43" s="6" t="s">
        <v>388</v>
      </c>
      <c r="O43" s="6" t="s">
        <v>108</v>
      </c>
      <c r="P43" s="7" t="n">
        <v>12433</v>
      </c>
      <c r="Q43" s="7" t="n">
        <v>7805</v>
      </c>
      <c r="R43" s="8" t="n">
        <f aca="false">IF(OR(P43="",Q43="",P43=0),"",Q43/P43)</f>
        <v>0.627764819432156</v>
      </c>
      <c r="S43" s="7" t="n">
        <v>923</v>
      </c>
      <c r="T43" s="3"/>
      <c r="U43" s="3"/>
      <c r="V43" s="3" t="n">
        <v>13</v>
      </c>
      <c r="W43" s="6" t="s">
        <v>389</v>
      </c>
      <c r="X43" s="6" t="s">
        <v>108</v>
      </c>
      <c r="Y43" s="6" t="s">
        <v>390</v>
      </c>
      <c r="Z43" s="6" t="s">
        <v>391</v>
      </c>
      <c r="AA43" s="6" t="s">
        <v>392</v>
      </c>
      <c r="AB43" s="6" t="s">
        <v>103</v>
      </c>
    </row>
    <row r="44" customFormat="false" ht="23.85" hidden="false" customHeight="false" outlineLevel="0" collapsed="false">
      <c r="A44" s="6" t="s">
        <v>393</v>
      </c>
      <c r="B44" s="6" t="s">
        <v>394</v>
      </c>
      <c r="C44" s="6" t="s">
        <v>104</v>
      </c>
      <c r="D44" s="6" t="s">
        <v>113</v>
      </c>
      <c r="E44" s="3" t="n">
        <v>2</v>
      </c>
      <c r="F44" s="3" t="n">
        <v>29</v>
      </c>
      <c r="G44" s="6" t="s">
        <v>99</v>
      </c>
      <c r="H44" s="3"/>
      <c r="I44" s="6" t="s">
        <v>100</v>
      </c>
      <c r="J44" s="6" t="s">
        <v>385</v>
      </c>
      <c r="K44" s="6" t="s">
        <v>386</v>
      </c>
      <c r="L44" s="6" t="s">
        <v>387</v>
      </c>
      <c r="M44" s="6" t="s">
        <v>130</v>
      </c>
      <c r="N44" s="6" t="s">
        <v>388</v>
      </c>
      <c r="O44" s="6" t="s">
        <v>108</v>
      </c>
      <c r="P44" s="7" t="n">
        <v>12433</v>
      </c>
      <c r="Q44" s="7" t="n">
        <v>7805</v>
      </c>
      <c r="R44" s="8" t="n">
        <f aca="false">IF(OR(P44="",Q44="",P44=0),"",Q44/P44)</f>
        <v>0.627764819432156</v>
      </c>
      <c r="S44" s="7" t="n">
        <v>459</v>
      </c>
      <c r="T44" s="3"/>
      <c r="U44" s="3"/>
      <c r="V44" s="3" t="n">
        <v>12</v>
      </c>
      <c r="W44" s="6" t="s">
        <v>395</v>
      </c>
      <c r="X44" s="6" t="s">
        <v>108</v>
      </c>
      <c r="Y44" s="6" t="s">
        <v>396</v>
      </c>
      <c r="Z44" s="6" t="s">
        <v>397</v>
      </c>
      <c r="AA44" s="6" t="s">
        <v>392</v>
      </c>
      <c r="AB44" s="6" t="s">
        <v>103</v>
      </c>
    </row>
    <row r="45" customFormat="false" ht="23.85" hidden="false" customHeight="false" outlineLevel="0" collapsed="false">
      <c r="A45" s="6" t="s">
        <v>398</v>
      </c>
      <c r="B45" s="6" t="s">
        <v>399</v>
      </c>
      <c r="C45" s="6" t="s">
        <v>104</v>
      </c>
      <c r="D45" s="6" t="s">
        <v>113</v>
      </c>
      <c r="E45" s="3" t="n">
        <v>2</v>
      </c>
      <c r="F45" s="3" t="n">
        <v>30</v>
      </c>
      <c r="G45" s="6" t="s">
        <v>99</v>
      </c>
      <c r="H45" s="3"/>
      <c r="I45" s="6" t="s">
        <v>100</v>
      </c>
      <c r="J45" s="6" t="s">
        <v>385</v>
      </c>
      <c r="K45" s="6" t="s">
        <v>386</v>
      </c>
      <c r="L45" s="6" t="s">
        <v>387</v>
      </c>
      <c r="M45" s="6" t="s">
        <v>130</v>
      </c>
      <c r="N45" s="6" t="s">
        <v>388</v>
      </c>
      <c r="O45" s="6" t="s">
        <v>108</v>
      </c>
      <c r="P45" s="7" t="n">
        <v>12433</v>
      </c>
      <c r="Q45" s="7" t="n">
        <v>7805</v>
      </c>
      <c r="R45" s="8" t="n">
        <f aca="false">IF(OR(P45="",Q45="",P45=0),"",Q45/P45)</f>
        <v>0.627764819432156</v>
      </c>
      <c r="S45" s="7" t="n">
        <v>919</v>
      </c>
      <c r="T45" s="3"/>
      <c r="U45" s="3"/>
      <c r="V45" s="3" t="n">
        <v>13</v>
      </c>
      <c r="W45" s="6" t="s">
        <v>400</v>
      </c>
      <c r="X45" s="6" t="s">
        <v>108</v>
      </c>
      <c r="Y45" s="6" t="s">
        <v>401</v>
      </c>
      <c r="Z45" s="6" t="s">
        <v>402</v>
      </c>
      <c r="AA45" s="6" t="s">
        <v>392</v>
      </c>
      <c r="AB45" s="6" t="s">
        <v>103</v>
      </c>
    </row>
    <row r="46" customFormat="false" ht="23.85" hidden="false" customHeight="false" outlineLevel="0" collapsed="false">
      <c r="A46" s="6" t="s">
        <v>403</v>
      </c>
      <c r="B46" s="6" t="s">
        <v>404</v>
      </c>
      <c r="C46" s="6" t="s">
        <v>104</v>
      </c>
      <c r="D46" s="6" t="s">
        <v>113</v>
      </c>
      <c r="E46" s="3" t="n">
        <v>2</v>
      </c>
      <c r="F46" s="3" t="n">
        <v>31</v>
      </c>
      <c r="G46" s="6" t="s">
        <v>99</v>
      </c>
      <c r="H46" s="3"/>
      <c r="I46" s="6" t="s">
        <v>100</v>
      </c>
      <c r="J46" s="6" t="s">
        <v>385</v>
      </c>
      <c r="K46" s="6" t="s">
        <v>386</v>
      </c>
      <c r="L46" s="6" t="s">
        <v>387</v>
      </c>
      <c r="M46" s="6" t="s">
        <v>130</v>
      </c>
      <c r="N46" s="6" t="s">
        <v>388</v>
      </c>
      <c r="O46" s="6" t="s">
        <v>108</v>
      </c>
      <c r="P46" s="7" t="n">
        <v>12433</v>
      </c>
      <c r="Q46" s="7" t="n">
        <v>7805</v>
      </c>
      <c r="R46" s="8" t="n">
        <f aca="false">IF(OR(P46="",Q46="",P46=0),"",Q46/P46)</f>
        <v>0.627764819432156</v>
      </c>
      <c r="S46" s="7" t="n">
        <v>496</v>
      </c>
      <c r="T46" s="3"/>
      <c r="U46" s="3"/>
      <c r="V46" s="3" t="n">
        <v>12</v>
      </c>
      <c r="W46" s="6" t="s">
        <v>405</v>
      </c>
      <c r="X46" s="6" t="s">
        <v>108</v>
      </c>
      <c r="Y46" s="6" t="s">
        <v>406</v>
      </c>
      <c r="Z46" s="6" t="s">
        <v>407</v>
      </c>
      <c r="AA46" s="6" t="s">
        <v>392</v>
      </c>
      <c r="AB46" s="6" t="s">
        <v>103</v>
      </c>
    </row>
    <row r="47" customFormat="false" ht="15" hidden="false" customHeight="false" outlineLevel="0" collapsed="false">
      <c r="A47" s="6" t="s">
        <v>408</v>
      </c>
      <c r="B47" s="6" t="s">
        <v>409</v>
      </c>
      <c r="C47" s="6" t="s">
        <v>104</v>
      </c>
      <c r="D47" s="6" t="s">
        <v>113</v>
      </c>
      <c r="E47" s="3" t="n">
        <v>2</v>
      </c>
      <c r="F47" s="3" t="n">
        <v>32</v>
      </c>
      <c r="G47" s="6" t="s">
        <v>99</v>
      </c>
      <c r="H47" s="3"/>
      <c r="I47" s="6" t="s">
        <v>100</v>
      </c>
      <c r="J47" s="6" t="s">
        <v>319</v>
      </c>
      <c r="K47" s="6" t="s">
        <v>410</v>
      </c>
      <c r="L47" s="6" t="s">
        <v>116</v>
      </c>
      <c r="M47" s="6" t="s">
        <v>100</v>
      </c>
      <c r="N47" s="3"/>
      <c r="O47" s="6" t="s">
        <v>108</v>
      </c>
      <c r="P47" s="7" t="n">
        <v>12433</v>
      </c>
      <c r="Q47" s="7" t="n">
        <v>12433</v>
      </c>
      <c r="R47" s="8" t="n">
        <f aca="false">IF(OR(P47="",Q47="",P47=0),"",Q47/P47)</f>
        <v>1</v>
      </c>
      <c r="S47" s="7" t="n">
        <v>2</v>
      </c>
      <c r="T47" s="3"/>
      <c r="U47" s="3"/>
      <c r="V47" s="3" t="n">
        <v>2</v>
      </c>
      <c r="W47" s="6" t="s">
        <v>411</v>
      </c>
      <c r="X47" s="6" t="s">
        <v>108</v>
      </c>
      <c r="Y47" s="6" t="s">
        <v>412</v>
      </c>
      <c r="Z47" s="6" t="s">
        <v>413</v>
      </c>
      <c r="AA47" s="6" t="s">
        <v>414</v>
      </c>
      <c r="AB47" s="6" t="s">
        <v>103</v>
      </c>
    </row>
    <row r="48" customFormat="false" ht="15" hidden="false" customHeight="false" outlineLevel="0" collapsed="false">
      <c r="A48" s="6" t="s">
        <v>415</v>
      </c>
      <c r="B48" s="6" t="s">
        <v>416</v>
      </c>
      <c r="C48" s="6" t="s">
        <v>104</v>
      </c>
      <c r="D48" s="6" t="s">
        <v>113</v>
      </c>
      <c r="E48" s="3" t="n">
        <v>2</v>
      </c>
      <c r="F48" s="3" t="n">
        <v>33</v>
      </c>
      <c r="G48" s="6" t="s">
        <v>99</v>
      </c>
      <c r="H48" s="3"/>
      <c r="I48" s="6" t="s">
        <v>100</v>
      </c>
      <c r="J48" s="6" t="s">
        <v>319</v>
      </c>
      <c r="K48" s="6" t="s">
        <v>417</v>
      </c>
      <c r="L48" s="6" t="s">
        <v>387</v>
      </c>
      <c r="M48" s="6" t="s">
        <v>130</v>
      </c>
      <c r="N48" s="6" t="s">
        <v>418</v>
      </c>
      <c r="O48" s="6" t="s">
        <v>108</v>
      </c>
      <c r="P48" s="7" t="n">
        <v>12433</v>
      </c>
      <c r="Q48" s="7" t="n">
        <v>7805</v>
      </c>
      <c r="R48" s="8" t="n">
        <f aca="false">IF(OR(P48="",Q48="",P48=0),"",Q48/P48)</f>
        <v>0.627764819432156</v>
      </c>
      <c r="S48" s="7" t="n">
        <v>10</v>
      </c>
      <c r="T48" s="3"/>
      <c r="U48" s="3"/>
      <c r="V48" s="3" t="n">
        <v>5</v>
      </c>
      <c r="W48" s="6" t="s">
        <v>411</v>
      </c>
      <c r="X48" s="6" t="s">
        <v>108</v>
      </c>
      <c r="Y48" s="6" t="s">
        <v>419</v>
      </c>
      <c r="Z48" s="6" t="s">
        <v>420</v>
      </c>
      <c r="AA48" s="6" t="s">
        <v>421</v>
      </c>
      <c r="AB48" s="6" t="s">
        <v>103</v>
      </c>
    </row>
    <row r="49" customFormat="false" ht="15" hidden="false" customHeight="false" outlineLevel="0" collapsed="false">
      <c r="A49" s="6" t="s">
        <v>422</v>
      </c>
      <c r="B49" s="6" t="s">
        <v>423</v>
      </c>
      <c r="C49" s="6" t="s">
        <v>104</v>
      </c>
      <c r="D49" s="6" t="s">
        <v>113</v>
      </c>
      <c r="E49" s="3" t="n">
        <v>2</v>
      </c>
      <c r="F49" s="3" t="n">
        <v>34</v>
      </c>
      <c r="G49" s="6" t="s">
        <v>99</v>
      </c>
      <c r="H49" s="3"/>
      <c r="I49" s="6" t="s">
        <v>100</v>
      </c>
      <c r="J49" s="6" t="s">
        <v>424</v>
      </c>
      <c r="K49" s="6" t="s">
        <v>425</v>
      </c>
      <c r="L49" s="6" t="s">
        <v>426</v>
      </c>
      <c r="M49" s="6" t="s">
        <v>130</v>
      </c>
      <c r="N49" s="6" t="s">
        <v>427</v>
      </c>
      <c r="O49" s="6" t="s">
        <v>108</v>
      </c>
      <c r="P49" s="7" t="n">
        <v>12433</v>
      </c>
      <c r="Q49" s="7" t="n">
        <v>3813</v>
      </c>
      <c r="R49" s="8" t="n">
        <f aca="false">IF(OR(P49="",Q49="",P49=0),"",Q49/P49)</f>
        <v>0.306683825303627</v>
      </c>
      <c r="S49" s="7" t="n">
        <v>3</v>
      </c>
      <c r="T49" s="3"/>
      <c r="U49" s="3"/>
      <c r="V49" s="3" t="n">
        <v>1</v>
      </c>
      <c r="W49" s="6" t="s">
        <v>428</v>
      </c>
      <c r="X49" s="6" t="s">
        <v>108</v>
      </c>
      <c r="Y49" s="6" t="s">
        <v>429</v>
      </c>
      <c r="Z49" s="6" t="s">
        <v>430</v>
      </c>
      <c r="AA49" s="6" t="s">
        <v>431</v>
      </c>
      <c r="AB49" s="6" t="s">
        <v>290</v>
      </c>
    </row>
    <row r="50" customFormat="false" ht="15" hidden="false" customHeight="false" outlineLevel="0" collapsed="false">
      <c r="A50" s="6" t="s">
        <v>432</v>
      </c>
      <c r="B50" s="6" t="s">
        <v>433</v>
      </c>
      <c r="C50" s="6" t="s">
        <v>104</v>
      </c>
      <c r="D50" s="6" t="s">
        <v>113</v>
      </c>
      <c r="E50" s="3" t="n">
        <v>2</v>
      </c>
      <c r="F50" s="3" t="n">
        <v>35</v>
      </c>
      <c r="G50" s="6" t="s">
        <v>99</v>
      </c>
      <c r="H50" s="3"/>
      <c r="I50" s="6" t="s">
        <v>100</v>
      </c>
      <c r="J50" s="6" t="s">
        <v>434</v>
      </c>
      <c r="K50" s="6" t="s">
        <v>435</v>
      </c>
      <c r="L50" s="6" t="s">
        <v>116</v>
      </c>
      <c r="M50" s="6" t="s">
        <v>100</v>
      </c>
      <c r="N50" s="3"/>
      <c r="O50" s="6" t="s">
        <v>108</v>
      </c>
      <c r="P50" s="7" t="n">
        <v>12433</v>
      </c>
      <c r="Q50" s="7" t="n">
        <v>12433</v>
      </c>
      <c r="R50" s="8" t="n">
        <f aca="false">IF(OR(P50="",Q50="",P50=0),"",Q50/P50)</f>
        <v>1</v>
      </c>
      <c r="S50" s="7" t="n">
        <v>2</v>
      </c>
      <c r="T50" s="3" t="n">
        <v>0</v>
      </c>
      <c r="U50" s="3" t="n">
        <v>1</v>
      </c>
      <c r="V50" s="3" t="n">
        <v>1</v>
      </c>
      <c r="W50" s="6" t="s">
        <v>243</v>
      </c>
      <c r="X50" s="6" t="s">
        <v>108</v>
      </c>
      <c r="Y50" s="6" t="s">
        <v>436</v>
      </c>
      <c r="Z50" s="6" t="s">
        <v>437</v>
      </c>
      <c r="AA50" s="6" t="s">
        <v>438</v>
      </c>
      <c r="AB50" s="6" t="s">
        <v>103</v>
      </c>
    </row>
    <row r="51" customFormat="false" ht="23.85" hidden="false" customHeight="false" outlineLevel="0" collapsed="false">
      <c r="A51" s="6" t="s">
        <v>439</v>
      </c>
      <c r="B51" s="6" t="s">
        <v>440</v>
      </c>
      <c r="C51" s="6" t="s">
        <v>104</v>
      </c>
      <c r="D51" s="6" t="s">
        <v>113</v>
      </c>
      <c r="E51" s="3" t="n">
        <v>2</v>
      </c>
      <c r="F51" s="3" t="n">
        <v>36</v>
      </c>
      <c r="G51" s="6" t="s">
        <v>99</v>
      </c>
      <c r="H51" s="3"/>
      <c r="I51" s="6" t="s">
        <v>100</v>
      </c>
      <c r="J51" s="6" t="s">
        <v>441</v>
      </c>
      <c r="K51" s="6" t="s">
        <v>442</v>
      </c>
      <c r="L51" s="6" t="s">
        <v>443</v>
      </c>
      <c r="M51" s="6" t="s">
        <v>130</v>
      </c>
      <c r="N51" s="6" t="s">
        <v>444</v>
      </c>
      <c r="O51" s="6" t="s">
        <v>108</v>
      </c>
      <c r="P51" s="7" t="n">
        <v>12433</v>
      </c>
      <c r="Q51" s="7" t="n">
        <v>4480</v>
      </c>
      <c r="R51" s="8" t="n">
        <f aca="false">IF(OR(P51="",Q51="",P51=0),"",Q51/P51)</f>
        <v>0.360331376176305</v>
      </c>
      <c r="S51" s="7" t="n">
        <v>9</v>
      </c>
      <c r="T51" s="3"/>
      <c r="U51" s="3"/>
      <c r="V51" s="3" t="n">
        <v>50</v>
      </c>
      <c r="W51" s="6" t="s">
        <v>445</v>
      </c>
      <c r="X51" s="6" t="s">
        <v>108</v>
      </c>
      <c r="Y51" s="6" t="s">
        <v>446</v>
      </c>
      <c r="Z51" s="6" t="s">
        <v>447</v>
      </c>
      <c r="AA51" s="6" t="s">
        <v>448</v>
      </c>
      <c r="AB51" s="6" t="s">
        <v>103</v>
      </c>
    </row>
    <row r="52" customFormat="false" ht="15" hidden="false" customHeight="false" outlineLevel="0" collapsed="false">
      <c r="A52" s="6" t="s">
        <v>449</v>
      </c>
      <c r="B52" s="6" t="s">
        <v>450</v>
      </c>
      <c r="C52" s="6" t="s">
        <v>104</v>
      </c>
      <c r="D52" s="6" t="s">
        <v>113</v>
      </c>
      <c r="E52" s="3" t="n">
        <v>2</v>
      </c>
      <c r="F52" s="3" t="n">
        <v>37</v>
      </c>
      <c r="G52" s="6" t="s">
        <v>99</v>
      </c>
      <c r="H52" s="3"/>
      <c r="I52" s="6" t="s">
        <v>100</v>
      </c>
      <c r="J52" s="6" t="s">
        <v>451</v>
      </c>
      <c r="K52" s="6" t="s">
        <v>452</v>
      </c>
      <c r="L52" s="6" t="s">
        <v>453</v>
      </c>
      <c r="M52" s="6" t="s">
        <v>130</v>
      </c>
      <c r="N52" s="6" t="s">
        <v>444</v>
      </c>
      <c r="O52" s="6" t="s">
        <v>108</v>
      </c>
      <c r="P52" s="7" t="n">
        <v>12433</v>
      </c>
      <c r="Q52" s="7" t="n">
        <v>3470</v>
      </c>
      <c r="R52" s="8" t="n">
        <f aca="false">IF(OR(P52="",Q52="",P52=0),"",Q52/P52)</f>
        <v>0.279095954315129</v>
      </c>
      <c r="S52" s="7" t="n">
        <v>10</v>
      </c>
      <c r="T52" s="3"/>
      <c r="U52" s="3"/>
      <c r="V52" s="3" t="n">
        <v>51</v>
      </c>
      <c r="W52" s="6" t="s">
        <v>454</v>
      </c>
      <c r="X52" s="6" t="s">
        <v>108</v>
      </c>
      <c r="Y52" s="6" t="s">
        <v>455</v>
      </c>
      <c r="Z52" s="6" t="s">
        <v>456</v>
      </c>
      <c r="AA52" s="6"/>
      <c r="AB52" s="6" t="s">
        <v>103</v>
      </c>
    </row>
  </sheetData>
  <autoFilter ref="A1:AB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70"/>
    <col collapsed="false" customWidth="true" hidden="false" outlineLevel="0" max="9" min="9" style="0" width="44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5" t="s">
        <v>457</v>
      </c>
      <c r="B1" s="5" t="s">
        <v>458</v>
      </c>
      <c r="C1" s="5" t="s">
        <v>459</v>
      </c>
      <c r="D1" s="5" t="s">
        <v>460</v>
      </c>
      <c r="E1" s="5" t="s">
        <v>461</v>
      </c>
      <c r="F1" s="5" t="s">
        <v>0</v>
      </c>
      <c r="G1" s="5" t="s">
        <v>462</v>
      </c>
      <c r="H1" s="5" t="s">
        <v>463</v>
      </c>
      <c r="I1" s="5" t="s">
        <v>94</v>
      </c>
      <c r="J1" s="5" t="s">
        <v>96</v>
      </c>
    </row>
    <row r="2" customFormat="false" ht="15" hidden="false" customHeight="false" outlineLevel="0" collapsed="false">
      <c r="A2" s="6" t="s">
        <v>108</v>
      </c>
      <c r="B2" s="6" t="s">
        <v>118</v>
      </c>
      <c r="C2" s="3" t="n">
        <v>1</v>
      </c>
      <c r="D2" s="6" t="s">
        <v>464</v>
      </c>
      <c r="E2" s="6" t="s">
        <v>100</v>
      </c>
      <c r="F2" s="6" t="s">
        <v>465</v>
      </c>
      <c r="G2" s="6" t="s">
        <v>112</v>
      </c>
      <c r="H2" s="6" t="s">
        <v>466</v>
      </c>
      <c r="I2" s="6" t="s">
        <v>467</v>
      </c>
      <c r="J2" s="6" t="s">
        <v>103</v>
      </c>
    </row>
    <row r="3" customFormat="false" ht="15" hidden="false" customHeight="false" outlineLevel="0" collapsed="false">
      <c r="A3" s="6" t="s">
        <v>108</v>
      </c>
      <c r="B3" s="6" t="s">
        <v>125</v>
      </c>
      <c r="C3" s="3" t="n">
        <v>2</v>
      </c>
      <c r="D3" s="6" t="s">
        <v>468</v>
      </c>
      <c r="E3" s="6" t="s">
        <v>100</v>
      </c>
      <c r="F3" s="6" t="s">
        <v>469</v>
      </c>
      <c r="G3" s="6" t="s">
        <v>122</v>
      </c>
      <c r="H3" s="6" t="s">
        <v>470</v>
      </c>
      <c r="I3" s="6" t="s">
        <v>471</v>
      </c>
      <c r="J3" s="6" t="s">
        <v>103</v>
      </c>
    </row>
    <row r="4" customFormat="false" ht="15" hidden="false" customHeight="false" outlineLevel="0" collapsed="false">
      <c r="A4" s="6" t="s">
        <v>108</v>
      </c>
      <c r="B4" s="6" t="s">
        <v>132</v>
      </c>
      <c r="C4" s="3" t="n">
        <v>3</v>
      </c>
      <c r="D4" s="6" t="s">
        <v>472</v>
      </c>
      <c r="E4" s="6" t="s">
        <v>100</v>
      </c>
      <c r="F4" s="6"/>
      <c r="G4" s="6" t="s">
        <v>129</v>
      </c>
      <c r="H4" s="6" t="s">
        <v>473</v>
      </c>
      <c r="I4" s="6" t="s">
        <v>474</v>
      </c>
      <c r="J4" s="6" t="s">
        <v>103</v>
      </c>
    </row>
    <row r="5" customFormat="false" ht="15" hidden="false" customHeight="false" outlineLevel="0" collapsed="false">
      <c r="A5" s="6" t="s">
        <v>108</v>
      </c>
      <c r="B5" s="6" t="s">
        <v>148</v>
      </c>
      <c r="C5" s="3" t="n">
        <v>4</v>
      </c>
      <c r="D5" s="6" t="s">
        <v>475</v>
      </c>
      <c r="E5" s="6" t="s">
        <v>100</v>
      </c>
      <c r="F5" s="6" t="s">
        <v>476</v>
      </c>
      <c r="G5" s="6" t="s">
        <v>142</v>
      </c>
      <c r="H5" s="6" t="s">
        <v>477</v>
      </c>
      <c r="I5" s="6" t="s">
        <v>478</v>
      </c>
      <c r="J5" s="6" t="s">
        <v>103</v>
      </c>
    </row>
    <row r="6" customFormat="false" ht="15" hidden="false" customHeight="false" outlineLevel="0" collapsed="false">
      <c r="A6" s="6" t="s">
        <v>108</v>
      </c>
      <c r="B6" s="6" t="s">
        <v>138</v>
      </c>
      <c r="C6" s="3" t="n">
        <v>5</v>
      </c>
      <c r="D6" s="6" t="s">
        <v>472</v>
      </c>
      <c r="E6" s="6" t="s">
        <v>100</v>
      </c>
      <c r="F6" s="6"/>
      <c r="G6" s="6" t="s">
        <v>136</v>
      </c>
      <c r="H6" s="6" t="s">
        <v>470</v>
      </c>
      <c r="I6" s="6" t="s">
        <v>479</v>
      </c>
      <c r="J6" s="6" t="s">
        <v>103</v>
      </c>
    </row>
    <row r="7" customFormat="false" ht="15" hidden="false" customHeight="false" outlineLevel="0" collapsed="false">
      <c r="A7" s="6" t="s">
        <v>108</v>
      </c>
      <c r="B7" s="6" t="s">
        <v>155</v>
      </c>
      <c r="C7" s="3" t="n">
        <v>6</v>
      </c>
      <c r="D7" s="6" t="s">
        <v>480</v>
      </c>
      <c r="E7" s="6" t="s">
        <v>100</v>
      </c>
      <c r="F7" s="6"/>
      <c r="G7" s="6" t="s">
        <v>151</v>
      </c>
      <c r="H7" s="6" t="s">
        <v>470</v>
      </c>
      <c r="I7" s="6" t="s">
        <v>481</v>
      </c>
      <c r="J7" s="6" t="s">
        <v>103</v>
      </c>
    </row>
    <row r="8" customFormat="false" ht="15" hidden="false" customHeight="false" outlineLevel="0" collapsed="false">
      <c r="A8" s="6" t="s">
        <v>108</v>
      </c>
      <c r="B8" s="6" t="s">
        <v>165</v>
      </c>
      <c r="C8" s="3" t="n">
        <v>7</v>
      </c>
      <c r="D8" s="6" t="s">
        <v>482</v>
      </c>
      <c r="E8" s="6" t="s">
        <v>130</v>
      </c>
      <c r="F8" s="6"/>
      <c r="G8" s="6" t="s">
        <v>159</v>
      </c>
      <c r="H8" s="6" t="s">
        <v>483</v>
      </c>
      <c r="I8" s="6" t="s">
        <v>484</v>
      </c>
      <c r="J8" s="6" t="s">
        <v>103</v>
      </c>
    </row>
    <row r="9" customFormat="false" ht="15" hidden="false" customHeight="false" outlineLevel="0" collapsed="false">
      <c r="A9" s="6" t="s">
        <v>108</v>
      </c>
      <c r="B9" s="6" t="s">
        <v>175</v>
      </c>
      <c r="C9" s="3" t="n">
        <v>8</v>
      </c>
      <c r="D9" s="6" t="s">
        <v>482</v>
      </c>
      <c r="E9" s="6" t="s">
        <v>130</v>
      </c>
      <c r="F9" s="6"/>
      <c r="G9" s="6" t="s">
        <v>169</v>
      </c>
      <c r="H9" s="6" t="s">
        <v>485</v>
      </c>
      <c r="I9" s="6" t="s">
        <v>486</v>
      </c>
      <c r="J9" s="6" t="s">
        <v>103</v>
      </c>
    </row>
    <row r="10" customFormat="false" ht="15" hidden="false" customHeight="false" outlineLevel="0" collapsed="false">
      <c r="A10" s="6" t="s">
        <v>108</v>
      </c>
      <c r="B10" s="6" t="s">
        <v>185</v>
      </c>
      <c r="C10" s="3" t="n">
        <v>9</v>
      </c>
      <c r="D10" s="6" t="s">
        <v>487</v>
      </c>
      <c r="E10" s="6" t="s">
        <v>130</v>
      </c>
      <c r="F10" s="6"/>
      <c r="G10" s="6" t="s">
        <v>179</v>
      </c>
      <c r="H10" s="6" t="s">
        <v>488</v>
      </c>
      <c r="I10" s="6" t="s">
        <v>489</v>
      </c>
      <c r="J10" s="6" t="s">
        <v>103</v>
      </c>
    </row>
    <row r="11" customFormat="false" ht="15" hidden="false" customHeight="false" outlineLevel="0" collapsed="false">
      <c r="A11" s="6" t="s">
        <v>108</v>
      </c>
      <c r="B11" s="6" t="s">
        <v>198</v>
      </c>
      <c r="C11" s="3" t="n">
        <v>10</v>
      </c>
      <c r="D11" s="6" t="s">
        <v>475</v>
      </c>
      <c r="E11" s="6" t="s">
        <v>100</v>
      </c>
      <c r="F11" s="6" t="s">
        <v>490</v>
      </c>
      <c r="G11" s="6" t="s">
        <v>196</v>
      </c>
      <c r="H11" s="6" t="s">
        <v>477</v>
      </c>
      <c r="I11" s="6" t="s">
        <v>491</v>
      </c>
      <c r="J11" s="6" t="s">
        <v>103</v>
      </c>
    </row>
    <row r="12" customFormat="false" ht="15" hidden="false" customHeight="false" outlineLevel="0" collapsed="false">
      <c r="A12" s="6" t="s">
        <v>108</v>
      </c>
      <c r="B12" s="6" t="s">
        <v>192</v>
      </c>
      <c r="C12" s="3" t="n">
        <v>11</v>
      </c>
      <c r="D12" s="6" t="s">
        <v>492</v>
      </c>
      <c r="E12" s="6" t="s">
        <v>130</v>
      </c>
      <c r="F12" s="6"/>
      <c r="G12" s="6" t="s">
        <v>189</v>
      </c>
      <c r="H12" s="6" t="s">
        <v>493</v>
      </c>
      <c r="I12" s="6" t="s">
        <v>494</v>
      </c>
      <c r="J12" s="6" t="s">
        <v>103</v>
      </c>
    </row>
    <row r="13" customFormat="false" ht="15" hidden="false" customHeight="false" outlineLevel="0" collapsed="false">
      <c r="A13" s="6" t="s">
        <v>108</v>
      </c>
      <c r="B13" s="6" t="s">
        <v>209</v>
      </c>
      <c r="C13" s="3" t="n">
        <v>12</v>
      </c>
      <c r="D13" s="6" t="s">
        <v>475</v>
      </c>
      <c r="E13" s="6" t="s">
        <v>100</v>
      </c>
      <c r="F13" s="6" t="s">
        <v>495</v>
      </c>
      <c r="G13" s="6" t="s">
        <v>207</v>
      </c>
      <c r="H13" s="6" t="s">
        <v>477</v>
      </c>
      <c r="I13" s="6" t="s">
        <v>496</v>
      </c>
      <c r="J13" s="6" t="s">
        <v>103</v>
      </c>
    </row>
    <row r="14" customFormat="false" ht="15" hidden="false" customHeight="false" outlineLevel="0" collapsed="false">
      <c r="A14" s="6" t="s">
        <v>108</v>
      </c>
      <c r="B14" s="6" t="s">
        <v>203</v>
      </c>
      <c r="C14" s="3" t="n">
        <v>13</v>
      </c>
      <c r="D14" s="6" t="s">
        <v>492</v>
      </c>
      <c r="E14" s="6" t="s">
        <v>100</v>
      </c>
      <c r="F14" s="6"/>
      <c r="G14" s="6" t="s">
        <v>201</v>
      </c>
      <c r="H14" s="6" t="s">
        <v>497</v>
      </c>
      <c r="I14" s="6" t="s">
        <v>498</v>
      </c>
      <c r="J14" s="6" t="s">
        <v>103</v>
      </c>
    </row>
    <row r="15" customFormat="false" ht="15" hidden="false" customHeight="false" outlineLevel="0" collapsed="false">
      <c r="A15" s="6" t="s">
        <v>108</v>
      </c>
      <c r="B15" s="6" t="s">
        <v>215</v>
      </c>
      <c r="C15" s="3" t="n">
        <v>14</v>
      </c>
      <c r="D15" s="6" t="s">
        <v>492</v>
      </c>
      <c r="E15" s="6" t="s">
        <v>100</v>
      </c>
      <c r="F15" s="6"/>
      <c r="G15" s="6" t="s">
        <v>213</v>
      </c>
      <c r="H15" s="6" t="s">
        <v>470</v>
      </c>
      <c r="I15" s="6" t="s">
        <v>499</v>
      </c>
      <c r="J15" s="6" t="s">
        <v>103</v>
      </c>
    </row>
    <row r="16" customFormat="false" ht="15" hidden="false" customHeight="false" outlineLevel="0" collapsed="false">
      <c r="A16" s="6" t="s">
        <v>108</v>
      </c>
      <c r="B16" s="6" t="s">
        <v>221</v>
      </c>
      <c r="C16" s="3" t="n">
        <v>15</v>
      </c>
      <c r="D16" s="6" t="s">
        <v>475</v>
      </c>
      <c r="E16" s="6" t="s">
        <v>100</v>
      </c>
      <c r="F16" s="6"/>
      <c r="G16" s="6" t="s">
        <v>218</v>
      </c>
      <c r="H16" s="6" t="s">
        <v>477</v>
      </c>
      <c r="I16" s="6" t="s">
        <v>500</v>
      </c>
      <c r="J16" s="6" t="s">
        <v>103</v>
      </c>
    </row>
    <row r="17" customFormat="false" ht="15" hidden="false" customHeight="false" outlineLevel="0" collapsed="false">
      <c r="A17" s="6" t="s">
        <v>108</v>
      </c>
      <c r="B17" s="6" t="s">
        <v>227</v>
      </c>
      <c r="C17" s="3" t="n">
        <v>16</v>
      </c>
      <c r="D17" s="6" t="s">
        <v>475</v>
      </c>
      <c r="E17" s="6" t="s">
        <v>100</v>
      </c>
      <c r="F17" s="6"/>
      <c r="G17" s="6" t="s">
        <v>224</v>
      </c>
      <c r="H17" s="6" t="s">
        <v>501</v>
      </c>
      <c r="I17" s="6" t="s">
        <v>502</v>
      </c>
      <c r="J17" s="6" t="s">
        <v>103</v>
      </c>
    </row>
    <row r="18" customFormat="false" ht="15" hidden="false" customHeight="false" outlineLevel="0" collapsed="false">
      <c r="A18" s="6" t="s">
        <v>108</v>
      </c>
      <c r="B18" s="6" t="s">
        <v>233</v>
      </c>
      <c r="C18" s="3" t="n">
        <v>17</v>
      </c>
      <c r="D18" s="6" t="s">
        <v>475</v>
      </c>
      <c r="E18" s="6" t="s">
        <v>100</v>
      </c>
      <c r="F18" s="6"/>
      <c r="G18" s="6" t="s">
        <v>231</v>
      </c>
      <c r="H18" s="6" t="s">
        <v>477</v>
      </c>
      <c r="I18" s="6" t="s">
        <v>503</v>
      </c>
      <c r="J18" s="6" t="s">
        <v>103</v>
      </c>
    </row>
    <row r="19" customFormat="false" ht="15" hidden="false" customHeight="false" outlineLevel="0" collapsed="false">
      <c r="A19" s="6" t="s">
        <v>108</v>
      </c>
      <c r="B19" s="6" t="s">
        <v>239</v>
      </c>
      <c r="C19" s="3" t="n">
        <v>18</v>
      </c>
      <c r="D19" s="6" t="s">
        <v>475</v>
      </c>
      <c r="E19" s="6" t="s">
        <v>100</v>
      </c>
      <c r="F19" s="6"/>
      <c r="G19" s="6" t="s">
        <v>236</v>
      </c>
      <c r="H19" s="6" t="s">
        <v>504</v>
      </c>
      <c r="I19" s="6" t="s">
        <v>505</v>
      </c>
      <c r="J19" s="6" t="s">
        <v>103</v>
      </c>
    </row>
    <row r="20" customFormat="false" ht="15" hidden="false" customHeight="false" outlineLevel="0" collapsed="false">
      <c r="A20" s="6" t="s">
        <v>108</v>
      </c>
      <c r="B20" s="6" t="s">
        <v>506</v>
      </c>
      <c r="C20" s="3" t="n">
        <v>19</v>
      </c>
      <c r="D20" s="6" t="s">
        <v>507</v>
      </c>
      <c r="E20" s="6" t="s">
        <v>100</v>
      </c>
      <c r="F20" s="6"/>
      <c r="G20" s="6" t="s">
        <v>508</v>
      </c>
      <c r="H20" s="6" t="s">
        <v>509</v>
      </c>
      <c r="I20" s="6" t="s">
        <v>510</v>
      </c>
      <c r="J20" s="6" t="s">
        <v>103</v>
      </c>
    </row>
    <row r="21" customFormat="false" ht="15" hidden="false" customHeight="false" outlineLevel="0" collapsed="false">
      <c r="A21" s="6" t="s">
        <v>108</v>
      </c>
      <c r="B21" s="6" t="s">
        <v>244</v>
      </c>
      <c r="C21" s="3" t="n">
        <v>20</v>
      </c>
      <c r="D21" s="6" t="s">
        <v>475</v>
      </c>
      <c r="E21" s="6" t="s">
        <v>100</v>
      </c>
      <c r="F21" s="6"/>
      <c r="G21" s="6" t="s">
        <v>242</v>
      </c>
      <c r="H21" s="6" t="s">
        <v>477</v>
      </c>
      <c r="I21" s="6" t="s">
        <v>511</v>
      </c>
      <c r="J21" s="6" t="s">
        <v>247</v>
      </c>
    </row>
    <row r="22" customFormat="false" ht="15" hidden="false" customHeight="false" outlineLevel="0" collapsed="false">
      <c r="A22" s="6" t="s">
        <v>108</v>
      </c>
      <c r="B22" s="6" t="s">
        <v>250</v>
      </c>
      <c r="C22" s="3" t="n">
        <v>21</v>
      </c>
      <c r="D22" s="6" t="s">
        <v>475</v>
      </c>
      <c r="E22" s="6" t="s">
        <v>100</v>
      </c>
      <c r="F22" s="6"/>
      <c r="G22" s="6" t="s">
        <v>249</v>
      </c>
      <c r="H22" s="6" t="s">
        <v>477</v>
      </c>
      <c r="I22" s="6" t="s">
        <v>512</v>
      </c>
      <c r="J22" s="6" t="s">
        <v>247</v>
      </c>
    </row>
    <row r="23" customFormat="false" ht="15" hidden="false" customHeight="false" outlineLevel="0" collapsed="false">
      <c r="A23" s="6" t="s">
        <v>108</v>
      </c>
      <c r="B23" s="6" t="s">
        <v>256</v>
      </c>
      <c r="C23" s="3" t="n">
        <v>22</v>
      </c>
      <c r="D23" s="6" t="s">
        <v>475</v>
      </c>
      <c r="E23" s="6" t="s">
        <v>100</v>
      </c>
      <c r="F23" s="6"/>
      <c r="G23" s="6" t="s">
        <v>254</v>
      </c>
      <c r="H23" s="6" t="s">
        <v>477</v>
      </c>
      <c r="I23" s="6" t="s">
        <v>513</v>
      </c>
      <c r="J23" s="6" t="s">
        <v>103</v>
      </c>
    </row>
    <row r="24" customFormat="false" ht="15" hidden="false" customHeight="false" outlineLevel="0" collapsed="false">
      <c r="A24" s="6" t="s">
        <v>108</v>
      </c>
      <c r="B24" s="6" t="s">
        <v>265</v>
      </c>
      <c r="C24" s="3" t="n">
        <v>23</v>
      </c>
      <c r="D24" s="6" t="s">
        <v>514</v>
      </c>
      <c r="E24" s="6" t="s">
        <v>100</v>
      </c>
      <c r="F24" s="6"/>
      <c r="G24" s="6" t="s">
        <v>260</v>
      </c>
      <c r="H24" s="6" t="s">
        <v>515</v>
      </c>
      <c r="I24" s="6" t="s">
        <v>516</v>
      </c>
      <c r="J24" s="6" t="s">
        <v>247</v>
      </c>
    </row>
    <row r="25" customFormat="false" ht="15" hidden="false" customHeight="false" outlineLevel="0" collapsed="false">
      <c r="A25" s="6" t="s">
        <v>108</v>
      </c>
      <c r="B25" s="6" t="s">
        <v>271</v>
      </c>
      <c r="C25" s="3" t="n">
        <v>24</v>
      </c>
      <c r="D25" s="6" t="s">
        <v>514</v>
      </c>
      <c r="E25" s="6" t="s">
        <v>100</v>
      </c>
      <c r="F25" s="6"/>
      <c r="G25" s="6" t="s">
        <v>269</v>
      </c>
      <c r="H25" s="6" t="s">
        <v>515</v>
      </c>
      <c r="I25" s="6" t="s">
        <v>517</v>
      </c>
      <c r="J25" s="6" t="s">
        <v>247</v>
      </c>
    </row>
    <row r="26" customFormat="false" ht="15" hidden="false" customHeight="false" outlineLevel="0" collapsed="false">
      <c r="A26" s="6" t="s">
        <v>108</v>
      </c>
      <c r="B26" s="6" t="s">
        <v>280</v>
      </c>
      <c r="C26" s="3" t="n">
        <v>25</v>
      </c>
      <c r="D26" s="6" t="s">
        <v>518</v>
      </c>
      <c r="E26" s="6" t="s">
        <v>130</v>
      </c>
      <c r="F26" s="6"/>
      <c r="G26" s="6" t="s">
        <v>275</v>
      </c>
      <c r="H26" s="6" t="s">
        <v>519</v>
      </c>
      <c r="I26" s="6" t="s">
        <v>520</v>
      </c>
      <c r="J26" s="6" t="s">
        <v>103</v>
      </c>
    </row>
    <row r="27" customFormat="false" ht="15" hidden="false" customHeight="false" outlineLevel="0" collapsed="false">
      <c r="A27" s="6" t="s">
        <v>108</v>
      </c>
      <c r="B27" s="6" t="s">
        <v>287</v>
      </c>
      <c r="C27" s="3" t="n">
        <v>26</v>
      </c>
      <c r="D27" s="6" t="s">
        <v>521</v>
      </c>
      <c r="E27" s="6" t="s">
        <v>100</v>
      </c>
      <c r="F27" s="6"/>
      <c r="G27" s="6" t="s">
        <v>284</v>
      </c>
      <c r="H27" s="6" t="s">
        <v>522</v>
      </c>
      <c r="I27" s="6" t="s">
        <v>523</v>
      </c>
      <c r="J27" s="6" t="s">
        <v>290</v>
      </c>
    </row>
    <row r="28" customFormat="false" ht="15" hidden="false" customHeight="false" outlineLevel="0" collapsed="false">
      <c r="A28" s="6" t="s">
        <v>108</v>
      </c>
      <c r="B28" s="6" t="s">
        <v>296</v>
      </c>
      <c r="C28" s="3" t="n">
        <v>27</v>
      </c>
      <c r="D28" s="6" t="s">
        <v>524</v>
      </c>
      <c r="E28" s="6" t="s">
        <v>130</v>
      </c>
      <c r="F28" s="6"/>
      <c r="G28" s="6" t="s">
        <v>292</v>
      </c>
      <c r="H28" s="6" t="s">
        <v>525</v>
      </c>
      <c r="I28" s="6" t="s">
        <v>526</v>
      </c>
      <c r="J28" s="6" t="s">
        <v>103</v>
      </c>
    </row>
    <row r="29" customFormat="false" ht="15" hidden="false" customHeight="false" outlineLevel="0" collapsed="false">
      <c r="A29" s="6" t="s">
        <v>108</v>
      </c>
      <c r="B29" s="6" t="s">
        <v>331</v>
      </c>
      <c r="C29" s="3" t="n">
        <v>28</v>
      </c>
      <c r="D29" s="6" t="s">
        <v>472</v>
      </c>
      <c r="E29" s="6" t="s">
        <v>130</v>
      </c>
      <c r="F29" s="6"/>
      <c r="G29" s="6" t="s">
        <v>324</v>
      </c>
      <c r="H29" s="6" t="s">
        <v>493</v>
      </c>
      <c r="I29" s="6" t="s">
        <v>527</v>
      </c>
      <c r="J29" s="6" t="s">
        <v>103</v>
      </c>
    </row>
    <row r="30" customFormat="false" ht="15" hidden="false" customHeight="false" outlineLevel="0" collapsed="false">
      <c r="A30" s="6" t="s">
        <v>108</v>
      </c>
      <c r="B30" s="6" t="s">
        <v>337</v>
      </c>
      <c r="C30" s="3" t="n">
        <v>29</v>
      </c>
      <c r="D30" s="6" t="s">
        <v>472</v>
      </c>
      <c r="E30" s="6" t="s">
        <v>130</v>
      </c>
      <c r="F30" s="6"/>
      <c r="G30" s="6" t="s">
        <v>335</v>
      </c>
      <c r="H30" s="6" t="s">
        <v>493</v>
      </c>
      <c r="I30" s="6" t="s">
        <v>528</v>
      </c>
      <c r="J30" s="6" t="s">
        <v>103</v>
      </c>
    </row>
    <row r="31" customFormat="false" ht="15" hidden="false" customHeight="false" outlineLevel="0" collapsed="false">
      <c r="A31" s="6" t="s">
        <v>108</v>
      </c>
      <c r="B31" s="6" t="s">
        <v>529</v>
      </c>
      <c r="C31" s="3" t="n">
        <v>30</v>
      </c>
      <c r="D31" s="6" t="s">
        <v>475</v>
      </c>
      <c r="E31" s="6" t="s">
        <v>130</v>
      </c>
      <c r="F31" s="6"/>
      <c r="G31" s="6" t="s">
        <v>384</v>
      </c>
      <c r="H31" s="6" t="s">
        <v>530</v>
      </c>
      <c r="I31" s="6" t="s">
        <v>531</v>
      </c>
      <c r="J31" s="6" t="s">
        <v>103</v>
      </c>
    </row>
    <row r="32" customFormat="false" ht="15" hidden="false" customHeight="false" outlineLevel="0" collapsed="false">
      <c r="A32" s="6" t="s">
        <v>108</v>
      </c>
      <c r="B32" s="6" t="s">
        <v>532</v>
      </c>
      <c r="C32" s="3" t="n">
        <v>31</v>
      </c>
      <c r="D32" s="6" t="s">
        <v>475</v>
      </c>
      <c r="E32" s="6" t="s">
        <v>130</v>
      </c>
      <c r="F32" s="6"/>
      <c r="G32" s="6" t="s">
        <v>394</v>
      </c>
      <c r="H32" s="6" t="s">
        <v>530</v>
      </c>
      <c r="I32" s="6" t="s">
        <v>533</v>
      </c>
      <c r="J32" s="6" t="s">
        <v>103</v>
      </c>
    </row>
    <row r="33" customFormat="false" ht="15" hidden="false" customHeight="false" outlineLevel="0" collapsed="false">
      <c r="A33" s="6" t="s">
        <v>108</v>
      </c>
      <c r="B33" s="6" t="s">
        <v>534</v>
      </c>
      <c r="C33" s="3" t="n">
        <v>32</v>
      </c>
      <c r="D33" s="6" t="s">
        <v>475</v>
      </c>
      <c r="E33" s="6" t="s">
        <v>130</v>
      </c>
      <c r="F33" s="6"/>
      <c r="G33" s="6" t="s">
        <v>399</v>
      </c>
      <c r="H33" s="6" t="s">
        <v>530</v>
      </c>
      <c r="I33" s="6" t="s">
        <v>535</v>
      </c>
      <c r="J33" s="6" t="s">
        <v>103</v>
      </c>
    </row>
    <row r="34" customFormat="false" ht="15" hidden="false" customHeight="false" outlineLevel="0" collapsed="false">
      <c r="A34" s="6" t="s">
        <v>108</v>
      </c>
      <c r="B34" s="6" t="s">
        <v>536</v>
      </c>
      <c r="C34" s="3" t="n">
        <v>33</v>
      </c>
      <c r="D34" s="6" t="s">
        <v>475</v>
      </c>
      <c r="E34" s="6" t="s">
        <v>130</v>
      </c>
      <c r="F34" s="6"/>
      <c r="G34" s="6" t="s">
        <v>404</v>
      </c>
      <c r="H34" s="6" t="s">
        <v>530</v>
      </c>
      <c r="I34" s="6" t="s">
        <v>537</v>
      </c>
      <c r="J34" s="6" t="s">
        <v>103</v>
      </c>
    </row>
    <row r="35" customFormat="false" ht="15" hidden="false" customHeight="false" outlineLevel="0" collapsed="false">
      <c r="A35" s="6" t="s">
        <v>108</v>
      </c>
      <c r="B35" s="6" t="s">
        <v>538</v>
      </c>
      <c r="C35" s="3" t="n">
        <v>34</v>
      </c>
      <c r="D35" s="6" t="s">
        <v>539</v>
      </c>
      <c r="E35" s="6" t="s">
        <v>130</v>
      </c>
      <c r="F35" s="6"/>
      <c r="G35" s="6" t="s">
        <v>384</v>
      </c>
      <c r="H35" s="6" t="s">
        <v>540</v>
      </c>
      <c r="I35" s="6" t="s">
        <v>541</v>
      </c>
      <c r="J35" s="6" t="s">
        <v>103</v>
      </c>
    </row>
    <row r="36" customFormat="false" ht="15" hidden="false" customHeight="false" outlineLevel="0" collapsed="false">
      <c r="A36" s="6" t="s">
        <v>108</v>
      </c>
      <c r="B36" s="6" t="s">
        <v>412</v>
      </c>
      <c r="C36" s="3" t="n">
        <v>35</v>
      </c>
      <c r="D36" s="6" t="s">
        <v>539</v>
      </c>
      <c r="E36" s="6" t="s">
        <v>100</v>
      </c>
      <c r="F36" s="6"/>
      <c r="G36" s="6" t="s">
        <v>409</v>
      </c>
      <c r="H36" s="6" t="s">
        <v>470</v>
      </c>
      <c r="I36" s="6" t="s">
        <v>542</v>
      </c>
      <c r="J36" s="6" t="s">
        <v>103</v>
      </c>
    </row>
    <row r="37" customFormat="false" ht="15" hidden="false" customHeight="false" outlineLevel="0" collapsed="false">
      <c r="A37" s="6" t="s">
        <v>108</v>
      </c>
      <c r="B37" s="6" t="s">
        <v>419</v>
      </c>
      <c r="C37" s="3" t="n">
        <v>36</v>
      </c>
      <c r="D37" s="6" t="s">
        <v>539</v>
      </c>
      <c r="E37" s="6" t="s">
        <v>130</v>
      </c>
      <c r="F37" s="6"/>
      <c r="G37" s="6" t="s">
        <v>416</v>
      </c>
      <c r="H37" s="6" t="s">
        <v>493</v>
      </c>
      <c r="I37" s="6" t="s">
        <v>543</v>
      </c>
      <c r="J37" s="6" t="s">
        <v>103</v>
      </c>
    </row>
    <row r="38" customFormat="false" ht="15" hidden="false" customHeight="false" outlineLevel="0" collapsed="false">
      <c r="A38" s="6" t="s">
        <v>108</v>
      </c>
      <c r="B38" s="6" t="s">
        <v>429</v>
      </c>
      <c r="C38" s="3" t="n">
        <v>37</v>
      </c>
      <c r="D38" s="6" t="s">
        <v>544</v>
      </c>
      <c r="E38" s="6" t="s">
        <v>130</v>
      </c>
      <c r="F38" s="6"/>
      <c r="G38" s="6" t="s">
        <v>423</v>
      </c>
      <c r="H38" s="6" t="s">
        <v>493</v>
      </c>
      <c r="I38" s="6" t="s">
        <v>545</v>
      </c>
      <c r="J38" s="6" t="s">
        <v>290</v>
      </c>
    </row>
    <row r="39" customFormat="false" ht="15" hidden="false" customHeight="false" outlineLevel="0" collapsed="false">
      <c r="A39" s="6" t="s">
        <v>108</v>
      </c>
      <c r="B39" s="6" t="s">
        <v>436</v>
      </c>
      <c r="C39" s="3" t="n">
        <v>38</v>
      </c>
      <c r="D39" s="6" t="s">
        <v>507</v>
      </c>
      <c r="E39" s="6" t="s">
        <v>100</v>
      </c>
      <c r="F39" s="6"/>
      <c r="G39" s="6" t="s">
        <v>433</v>
      </c>
      <c r="H39" s="6" t="s">
        <v>546</v>
      </c>
      <c r="I39" s="6" t="s">
        <v>547</v>
      </c>
      <c r="J39" s="6" t="s">
        <v>103</v>
      </c>
    </row>
    <row r="40" customFormat="false" ht="15" hidden="false" customHeight="false" outlineLevel="0" collapsed="false">
      <c r="A40" s="6" t="s">
        <v>108</v>
      </c>
      <c r="B40" s="6" t="s">
        <v>446</v>
      </c>
      <c r="C40" s="3" t="n">
        <v>39</v>
      </c>
      <c r="D40" s="6" t="s">
        <v>548</v>
      </c>
      <c r="E40" s="6" t="s">
        <v>130</v>
      </c>
      <c r="F40" s="6"/>
      <c r="G40" s="6" t="s">
        <v>440</v>
      </c>
      <c r="H40" s="6" t="s">
        <v>493</v>
      </c>
      <c r="I40" s="6" t="s">
        <v>549</v>
      </c>
      <c r="J40" s="6" t="s">
        <v>103</v>
      </c>
    </row>
    <row r="41" customFormat="false" ht="15" hidden="false" customHeight="false" outlineLevel="0" collapsed="false">
      <c r="A41" s="6" t="s">
        <v>108</v>
      </c>
      <c r="B41" s="6" t="s">
        <v>455</v>
      </c>
      <c r="C41" s="3" t="n">
        <v>40</v>
      </c>
      <c r="D41" s="6" t="s">
        <v>548</v>
      </c>
      <c r="E41" s="6" t="s">
        <v>130</v>
      </c>
      <c r="F41" s="6"/>
      <c r="G41" s="6" t="s">
        <v>450</v>
      </c>
      <c r="H41" s="6" t="s">
        <v>493</v>
      </c>
      <c r="I41" s="6" t="s">
        <v>550</v>
      </c>
      <c r="J41" s="6" t="s">
        <v>103</v>
      </c>
    </row>
    <row r="42" customFormat="false" ht="15" hidden="false" customHeight="false" outlineLevel="0" collapsed="false">
      <c r="A42" s="6" t="s">
        <v>302</v>
      </c>
      <c r="B42" s="6" t="s">
        <v>118</v>
      </c>
      <c r="C42" s="3" t="n">
        <v>1</v>
      </c>
      <c r="D42" s="6" t="s">
        <v>464</v>
      </c>
      <c r="E42" s="6" t="s">
        <v>100</v>
      </c>
      <c r="F42" s="6" t="s">
        <v>551</v>
      </c>
      <c r="G42" s="6" t="s">
        <v>552</v>
      </c>
      <c r="H42" s="6" t="s">
        <v>553</v>
      </c>
      <c r="I42" s="6"/>
      <c r="J42" s="6" t="s">
        <v>103</v>
      </c>
    </row>
    <row r="43" customFormat="false" ht="15" hidden="false" customHeight="false" outlineLevel="0" collapsed="false">
      <c r="A43" s="6" t="s">
        <v>302</v>
      </c>
      <c r="B43" s="6" t="s">
        <v>554</v>
      </c>
      <c r="C43" s="3" t="n">
        <v>2</v>
      </c>
      <c r="D43" s="6" t="s">
        <v>487</v>
      </c>
      <c r="E43" s="6" t="s">
        <v>100</v>
      </c>
      <c r="F43" s="6" t="s">
        <v>555</v>
      </c>
      <c r="G43" s="6" t="s">
        <v>318</v>
      </c>
      <c r="H43" s="6" t="s">
        <v>556</v>
      </c>
      <c r="I43" s="6" t="s">
        <v>557</v>
      </c>
      <c r="J43" s="6" t="s">
        <v>103</v>
      </c>
    </row>
    <row r="44" customFormat="false" ht="15" hidden="false" customHeight="false" outlineLevel="0" collapsed="false">
      <c r="A44" s="6" t="s">
        <v>302</v>
      </c>
      <c r="B44" s="6" t="s">
        <v>558</v>
      </c>
      <c r="C44" s="3" t="n">
        <v>3</v>
      </c>
      <c r="D44" s="6" t="s">
        <v>464</v>
      </c>
      <c r="E44" s="6" t="s">
        <v>100</v>
      </c>
      <c r="F44" s="6"/>
      <c r="G44" s="6" t="s">
        <v>318</v>
      </c>
      <c r="H44" s="6" t="s">
        <v>559</v>
      </c>
      <c r="I44" s="6" t="s">
        <v>560</v>
      </c>
      <c r="J44" s="6" t="s">
        <v>103</v>
      </c>
    </row>
    <row r="45" customFormat="false" ht="15" hidden="false" customHeight="false" outlineLevel="0" collapsed="false">
      <c r="A45" s="6" t="s">
        <v>302</v>
      </c>
      <c r="B45" s="6" t="s">
        <v>561</v>
      </c>
      <c r="C45" s="3" t="n">
        <v>4</v>
      </c>
      <c r="D45" s="6" t="s">
        <v>521</v>
      </c>
      <c r="E45" s="6" t="s">
        <v>130</v>
      </c>
      <c r="F45" s="6"/>
      <c r="G45" s="6" t="s">
        <v>318</v>
      </c>
      <c r="H45" s="6" t="s">
        <v>562</v>
      </c>
      <c r="I45" s="6" t="s">
        <v>563</v>
      </c>
      <c r="J45" s="6" t="s">
        <v>103</v>
      </c>
    </row>
    <row r="46" customFormat="false" ht="15" hidden="false" customHeight="false" outlineLevel="0" collapsed="false">
      <c r="A46" s="6" t="s">
        <v>302</v>
      </c>
      <c r="B46" s="6" t="s">
        <v>73</v>
      </c>
      <c r="C46" s="3" t="n">
        <v>5</v>
      </c>
      <c r="D46" s="6" t="s">
        <v>487</v>
      </c>
      <c r="E46" s="6" t="s">
        <v>100</v>
      </c>
      <c r="F46" s="6"/>
      <c r="G46" s="6" t="s">
        <v>508</v>
      </c>
      <c r="H46" s="6" t="s">
        <v>564</v>
      </c>
      <c r="I46" s="6" t="s">
        <v>565</v>
      </c>
      <c r="J46" s="6" t="s">
        <v>103</v>
      </c>
    </row>
    <row r="47" customFormat="false" ht="15" hidden="false" customHeight="false" outlineLevel="0" collapsed="false">
      <c r="A47" s="6" t="s">
        <v>302</v>
      </c>
      <c r="B47" s="6" t="s">
        <v>459</v>
      </c>
      <c r="C47" s="3" t="n">
        <v>6</v>
      </c>
      <c r="D47" s="6" t="s">
        <v>521</v>
      </c>
      <c r="E47" s="6" t="s">
        <v>100</v>
      </c>
      <c r="F47" s="6"/>
      <c r="G47" s="6" t="s">
        <v>566</v>
      </c>
      <c r="H47" s="6" t="s">
        <v>567</v>
      </c>
      <c r="I47" s="6" t="s">
        <v>568</v>
      </c>
      <c r="J47" s="6" t="s">
        <v>103</v>
      </c>
    </row>
    <row r="48" customFormat="false" ht="15" hidden="false" customHeight="false" outlineLevel="0" collapsed="false">
      <c r="A48" s="6" t="s">
        <v>302</v>
      </c>
      <c r="B48" s="6" t="s">
        <v>152</v>
      </c>
      <c r="C48" s="3" t="n">
        <v>7</v>
      </c>
      <c r="D48" s="6" t="s">
        <v>480</v>
      </c>
      <c r="E48" s="6" t="s">
        <v>100</v>
      </c>
      <c r="F48" s="6"/>
      <c r="G48" s="6" t="s">
        <v>306</v>
      </c>
      <c r="H48" s="6" t="s">
        <v>569</v>
      </c>
      <c r="I48" s="6" t="s">
        <v>570</v>
      </c>
      <c r="J48" s="6" t="s">
        <v>103</v>
      </c>
    </row>
    <row r="49" customFormat="false" ht="15" hidden="false" customHeight="false" outlineLevel="0" collapsed="false">
      <c r="A49" s="6" t="s">
        <v>364</v>
      </c>
      <c r="B49" s="6" t="s">
        <v>118</v>
      </c>
      <c r="C49" s="3" t="n">
        <v>1</v>
      </c>
      <c r="D49" s="6" t="s">
        <v>464</v>
      </c>
      <c r="E49" s="6" t="s">
        <v>100</v>
      </c>
      <c r="F49" s="6" t="s">
        <v>551</v>
      </c>
      <c r="G49" s="6" t="s">
        <v>552</v>
      </c>
      <c r="H49" s="6" t="s">
        <v>553</v>
      </c>
      <c r="I49" s="6"/>
      <c r="J49" s="6" t="s">
        <v>103</v>
      </c>
    </row>
    <row r="50" customFormat="false" ht="15" hidden="false" customHeight="false" outlineLevel="0" collapsed="false">
      <c r="A50" s="6" t="s">
        <v>364</v>
      </c>
      <c r="B50" s="6" t="s">
        <v>376</v>
      </c>
      <c r="C50" s="3" t="n">
        <v>2</v>
      </c>
      <c r="D50" s="6" t="s">
        <v>521</v>
      </c>
      <c r="E50" s="6" t="s">
        <v>100</v>
      </c>
      <c r="F50" s="6" t="s">
        <v>555</v>
      </c>
      <c r="G50" s="6" t="s">
        <v>374</v>
      </c>
      <c r="H50" s="6" t="s">
        <v>477</v>
      </c>
      <c r="I50" s="6" t="s">
        <v>571</v>
      </c>
      <c r="J50" s="6" t="s">
        <v>103</v>
      </c>
    </row>
    <row r="51" customFormat="false" ht="15" hidden="false" customHeight="false" outlineLevel="0" collapsed="false">
      <c r="A51" s="6" t="s">
        <v>364</v>
      </c>
      <c r="B51" s="6" t="s">
        <v>381</v>
      </c>
      <c r="C51" s="3" t="n">
        <v>3</v>
      </c>
      <c r="D51" s="6" t="s">
        <v>572</v>
      </c>
      <c r="E51" s="6" t="s">
        <v>100</v>
      </c>
      <c r="F51" s="6"/>
      <c r="G51" s="6" t="s">
        <v>379</v>
      </c>
      <c r="H51" s="6" t="s">
        <v>573</v>
      </c>
      <c r="I51" s="6" t="s">
        <v>574</v>
      </c>
      <c r="J51" s="6" t="s">
        <v>103</v>
      </c>
    </row>
    <row r="52" customFormat="false" ht="15" hidden="false" customHeight="false" outlineLevel="0" collapsed="false">
      <c r="A52" s="6" t="s">
        <v>364</v>
      </c>
      <c r="B52" s="6" t="s">
        <v>1</v>
      </c>
      <c r="C52" s="3" t="n">
        <v>4</v>
      </c>
      <c r="D52" s="6" t="s">
        <v>575</v>
      </c>
      <c r="E52" s="6" t="s">
        <v>100</v>
      </c>
      <c r="F52" s="6"/>
      <c r="G52" s="6" t="s">
        <v>367</v>
      </c>
      <c r="H52" s="6" t="s">
        <v>576</v>
      </c>
      <c r="I52" s="6" t="s">
        <v>577</v>
      </c>
      <c r="J52" s="6" t="s">
        <v>103</v>
      </c>
    </row>
    <row r="53" customFormat="false" ht="15" hidden="false" customHeight="false" outlineLevel="0" collapsed="false">
      <c r="A53" s="6" t="s">
        <v>364</v>
      </c>
      <c r="B53" s="6" t="s">
        <v>459</v>
      </c>
      <c r="C53" s="3" t="n">
        <v>5</v>
      </c>
      <c r="D53" s="6" t="s">
        <v>521</v>
      </c>
      <c r="E53" s="6" t="s">
        <v>100</v>
      </c>
      <c r="F53" s="6"/>
      <c r="G53" s="6" t="s">
        <v>566</v>
      </c>
      <c r="H53" s="6" t="s">
        <v>578</v>
      </c>
      <c r="I53" s="6" t="s">
        <v>568</v>
      </c>
      <c r="J53" s="6" t="s">
        <v>103</v>
      </c>
    </row>
    <row r="54" customFormat="false" ht="15" hidden="false" customHeight="false" outlineLevel="0" collapsed="false">
      <c r="A54" s="6" t="s">
        <v>342</v>
      </c>
      <c r="B54" s="6" t="s">
        <v>118</v>
      </c>
      <c r="C54" s="3" t="n">
        <v>1</v>
      </c>
      <c r="D54" s="6" t="s">
        <v>464</v>
      </c>
      <c r="E54" s="6" t="s">
        <v>100</v>
      </c>
      <c r="F54" s="6" t="s">
        <v>551</v>
      </c>
      <c r="G54" s="6" t="s">
        <v>552</v>
      </c>
      <c r="H54" s="6" t="s">
        <v>553</v>
      </c>
      <c r="I54" s="6"/>
      <c r="J54" s="6" t="s">
        <v>103</v>
      </c>
    </row>
    <row r="55" customFormat="false" ht="15" hidden="false" customHeight="false" outlineLevel="0" collapsed="false">
      <c r="A55" s="6" t="s">
        <v>342</v>
      </c>
      <c r="B55" s="6" t="s">
        <v>354</v>
      </c>
      <c r="C55" s="3" t="n">
        <v>2</v>
      </c>
      <c r="D55" s="6" t="s">
        <v>521</v>
      </c>
      <c r="E55" s="6" t="s">
        <v>100</v>
      </c>
      <c r="F55" s="6" t="s">
        <v>555</v>
      </c>
      <c r="G55" s="6" t="s">
        <v>352</v>
      </c>
      <c r="H55" s="6" t="s">
        <v>477</v>
      </c>
      <c r="I55" s="6" t="s">
        <v>579</v>
      </c>
      <c r="J55" s="6" t="s">
        <v>103</v>
      </c>
    </row>
    <row r="56" customFormat="false" ht="15" hidden="false" customHeight="false" outlineLevel="0" collapsed="false">
      <c r="A56" s="6" t="s">
        <v>342</v>
      </c>
      <c r="B56" s="6" t="s">
        <v>459</v>
      </c>
      <c r="C56" s="3" t="n">
        <v>3</v>
      </c>
      <c r="D56" s="6" t="s">
        <v>521</v>
      </c>
      <c r="E56" s="6" t="s">
        <v>100</v>
      </c>
      <c r="F56" s="6"/>
      <c r="G56" s="6" t="s">
        <v>566</v>
      </c>
      <c r="H56" s="6" t="s">
        <v>580</v>
      </c>
      <c r="I56" s="6" t="s">
        <v>568</v>
      </c>
      <c r="J56" s="6" t="s">
        <v>103</v>
      </c>
    </row>
    <row r="57" customFormat="false" ht="23.85" hidden="false" customHeight="false" outlineLevel="0" collapsed="false">
      <c r="A57" s="6" t="s">
        <v>342</v>
      </c>
      <c r="B57" s="6" t="s">
        <v>349</v>
      </c>
      <c r="C57" s="3" t="n">
        <v>4</v>
      </c>
      <c r="D57" s="6" t="s">
        <v>524</v>
      </c>
      <c r="E57" s="6" t="s">
        <v>100</v>
      </c>
      <c r="F57" s="6"/>
      <c r="G57" s="6" t="s">
        <v>345</v>
      </c>
      <c r="H57" s="6" t="s">
        <v>576</v>
      </c>
      <c r="I57" s="6" t="s">
        <v>581</v>
      </c>
      <c r="J57" s="6" t="s">
        <v>103</v>
      </c>
    </row>
    <row r="58" customFormat="false" ht="15" hidden="false" customHeight="false" outlineLevel="0" collapsed="false">
      <c r="A58" s="6" t="s">
        <v>582</v>
      </c>
      <c r="B58" s="6" t="s">
        <v>148</v>
      </c>
      <c r="C58" s="3" t="n">
        <v>1</v>
      </c>
      <c r="D58" s="6" t="s">
        <v>475</v>
      </c>
      <c r="E58" s="6" t="s">
        <v>100</v>
      </c>
      <c r="F58" s="6" t="s">
        <v>465</v>
      </c>
      <c r="G58" s="6" t="s">
        <v>142</v>
      </c>
      <c r="H58" s="6" t="s">
        <v>583</v>
      </c>
      <c r="I58" s="6" t="s">
        <v>584</v>
      </c>
      <c r="J58" s="6" t="s">
        <v>103</v>
      </c>
    </row>
    <row r="59" customFormat="false" ht="15" hidden="false" customHeight="false" outlineLevel="0" collapsed="false">
      <c r="A59" s="6" t="s">
        <v>582</v>
      </c>
      <c r="B59" s="6" t="s">
        <v>138</v>
      </c>
      <c r="C59" s="3" t="n">
        <v>2</v>
      </c>
      <c r="D59" s="6" t="s">
        <v>472</v>
      </c>
      <c r="E59" s="6" t="s">
        <v>100</v>
      </c>
      <c r="F59" s="6"/>
      <c r="G59" s="6" t="s">
        <v>136</v>
      </c>
      <c r="H59" s="6" t="s">
        <v>585</v>
      </c>
      <c r="I59" s="6" t="s">
        <v>584</v>
      </c>
      <c r="J59" s="6" t="s">
        <v>103</v>
      </c>
    </row>
    <row r="60" customFormat="false" ht="15" hidden="false" customHeight="false" outlineLevel="0" collapsed="false">
      <c r="A60" s="6" t="s">
        <v>582</v>
      </c>
      <c r="B60" s="6" t="s">
        <v>155</v>
      </c>
      <c r="C60" s="3" t="n">
        <v>3</v>
      </c>
      <c r="D60" s="6" t="s">
        <v>480</v>
      </c>
      <c r="E60" s="6" t="s">
        <v>100</v>
      </c>
      <c r="F60" s="6"/>
      <c r="G60" s="6" t="s">
        <v>151</v>
      </c>
      <c r="H60" s="6" t="s">
        <v>586</v>
      </c>
      <c r="I60" s="6" t="s">
        <v>584</v>
      </c>
      <c r="J60" s="6" t="s">
        <v>103</v>
      </c>
    </row>
    <row r="61" customFormat="false" ht="15" hidden="false" customHeight="false" outlineLevel="0" collapsed="false">
      <c r="A61" s="6" t="s">
        <v>587</v>
      </c>
      <c r="B61" s="6" t="s">
        <v>198</v>
      </c>
      <c r="C61" s="3" t="n">
        <v>1</v>
      </c>
      <c r="D61" s="6" t="s">
        <v>475</v>
      </c>
      <c r="E61" s="6" t="s">
        <v>100</v>
      </c>
      <c r="F61" s="6" t="s">
        <v>465</v>
      </c>
      <c r="G61" s="6" t="s">
        <v>196</v>
      </c>
      <c r="H61" s="6" t="s">
        <v>588</v>
      </c>
      <c r="I61" s="6" t="s">
        <v>584</v>
      </c>
      <c r="J61" s="6" t="s">
        <v>103</v>
      </c>
    </row>
    <row r="62" customFormat="false" ht="15" hidden="false" customHeight="false" outlineLevel="0" collapsed="false">
      <c r="A62" s="6" t="s">
        <v>587</v>
      </c>
      <c r="B62" s="6" t="s">
        <v>192</v>
      </c>
      <c r="C62" s="3" t="n">
        <v>2</v>
      </c>
      <c r="D62" s="6" t="s">
        <v>492</v>
      </c>
      <c r="E62" s="6" t="s">
        <v>130</v>
      </c>
      <c r="F62" s="6"/>
      <c r="G62" s="6" t="s">
        <v>189</v>
      </c>
      <c r="H62" s="6" t="s">
        <v>493</v>
      </c>
      <c r="I62" s="6" t="s">
        <v>584</v>
      </c>
      <c r="J62" s="6" t="s">
        <v>103</v>
      </c>
    </row>
    <row r="63" customFormat="false" ht="15" hidden="false" customHeight="false" outlineLevel="0" collapsed="false">
      <c r="A63" s="6" t="s">
        <v>589</v>
      </c>
      <c r="B63" s="6" t="s">
        <v>209</v>
      </c>
      <c r="C63" s="3" t="n">
        <v>1</v>
      </c>
      <c r="D63" s="6" t="s">
        <v>475</v>
      </c>
      <c r="E63" s="6" t="s">
        <v>100</v>
      </c>
      <c r="F63" s="6" t="s">
        <v>465</v>
      </c>
      <c r="G63" s="6" t="s">
        <v>207</v>
      </c>
      <c r="H63" s="6" t="s">
        <v>590</v>
      </c>
      <c r="I63" s="6" t="s">
        <v>584</v>
      </c>
      <c r="J63" s="6" t="s">
        <v>103</v>
      </c>
    </row>
    <row r="64" customFormat="false" ht="15" hidden="false" customHeight="false" outlineLevel="0" collapsed="false">
      <c r="A64" s="6" t="s">
        <v>589</v>
      </c>
      <c r="B64" s="6" t="s">
        <v>203</v>
      </c>
      <c r="C64" s="3" t="n">
        <v>2</v>
      </c>
      <c r="D64" s="6" t="s">
        <v>492</v>
      </c>
      <c r="E64" s="6" t="s">
        <v>100</v>
      </c>
      <c r="F64" s="6"/>
      <c r="G64" s="6" t="s">
        <v>201</v>
      </c>
      <c r="H64" s="6" t="s">
        <v>470</v>
      </c>
      <c r="I64" s="6" t="s">
        <v>584</v>
      </c>
      <c r="J64" s="6" t="s">
        <v>103</v>
      </c>
    </row>
    <row r="65" customFormat="false" ht="15" hidden="false" customHeight="false" outlineLevel="0" collapsed="false">
      <c r="A65" s="6" t="s">
        <v>589</v>
      </c>
      <c r="B65" s="6" t="s">
        <v>198</v>
      </c>
      <c r="C65" s="3" t="n">
        <v>3</v>
      </c>
      <c r="D65" s="6" t="s">
        <v>475</v>
      </c>
      <c r="E65" s="6" t="s">
        <v>100</v>
      </c>
      <c r="F65" s="6" t="s">
        <v>490</v>
      </c>
      <c r="G65" s="6" t="s">
        <v>196</v>
      </c>
      <c r="H65" s="6"/>
      <c r="I65" s="6" t="s">
        <v>584</v>
      </c>
      <c r="J65" s="6" t="s">
        <v>103</v>
      </c>
    </row>
  </sheetData>
  <autoFilter ref="A1:J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50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40"/>
  </cols>
  <sheetData>
    <row r="1" customFormat="false" ht="30" hidden="false" customHeight="true" outlineLevel="0" collapsed="false">
      <c r="A1" s="9" t="s">
        <v>591</v>
      </c>
      <c r="B1" s="9" t="s">
        <v>592</v>
      </c>
      <c r="C1" s="9" t="s">
        <v>593</v>
      </c>
      <c r="D1" s="9" t="s">
        <v>594</v>
      </c>
      <c r="E1" s="9" t="s">
        <v>595</v>
      </c>
      <c r="F1" s="9" t="s">
        <v>596</v>
      </c>
      <c r="G1" s="9" t="s">
        <v>597</v>
      </c>
      <c r="H1" s="9" t="s">
        <v>598</v>
      </c>
    </row>
    <row r="2" customFormat="false" ht="15" hidden="false" customHeight="false" outlineLevel="0" collapsed="false">
      <c r="A2" s="6" t="s">
        <v>599</v>
      </c>
      <c r="B2" s="6" t="s">
        <v>112</v>
      </c>
      <c r="C2" s="6" t="s">
        <v>600</v>
      </c>
      <c r="D2" s="6" t="s">
        <v>601</v>
      </c>
      <c r="E2" s="6" t="s">
        <v>602</v>
      </c>
      <c r="F2" s="7" t="n">
        <v>0</v>
      </c>
      <c r="G2" s="3"/>
      <c r="H2" s="6" t="s">
        <v>603</v>
      </c>
    </row>
    <row r="3" customFormat="false" ht="15" hidden="false" customHeight="false" outlineLevel="0" collapsed="false">
      <c r="A3" s="6" t="s">
        <v>604</v>
      </c>
      <c r="B3" s="6" t="s">
        <v>605</v>
      </c>
      <c r="C3" s="6" t="s">
        <v>606</v>
      </c>
      <c r="D3" s="6" t="s">
        <v>607</v>
      </c>
      <c r="E3" s="6" t="s">
        <v>602</v>
      </c>
      <c r="F3" s="7" t="n">
        <v>0</v>
      </c>
      <c r="G3" s="3"/>
      <c r="H3" s="6" t="s">
        <v>608</v>
      </c>
    </row>
    <row r="4" customFormat="false" ht="15" hidden="false" customHeight="false" outlineLevel="0" collapsed="false">
      <c r="A4" s="6" t="s">
        <v>609</v>
      </c>
      <c r="B4" s="6" t="s">
        <v>610</v>
      </c>
      <c r="C4" s="6" t="s">
        <v>611</v>
      </c>
      <c r="D4" s="6" t="s">
        <v>612</v>
      </c>
      <c r="E4" s="6" t="s">
        <v>613</v>
      </c>
      <c r="F4" s="7" t="n">
        <v>0</v>
      </c>
      <c r="G4" s="3"/>
      <c r="H4" s="6" t="s">
        <v>608</v>
      </c>
    </row>
    <row r="5" customFormat="false" ht="15" hidden="false" customHeight="false" outlineLevel="0" collapsed="false">
      <c r="A5" s="6" t="s">
        <v>614</v>
      </c>
      <c r="B5" s="6" t="s">
        <v>104</v>
      </c>
      <c r="C5" s="6" t="s">
        <v>615</v>
      </c>
      <c r="D5" s="6" t="s">
        <v>616</v>
      </c>
      <c r="E5" s="6" t="s">
        <v>602</v>
      </c>
      <c r="F5" s="7" t="n">
        <v>0</v>
      </c>
      <c r="G5" s="3"/>
      <c r="H5" s="6" t="s">
        <v>617</v>
      </c>
    </row>
    <row r="6" customFormat="false" ht="15" hidden="false" customHeight="false" outlineLevel="0" collapsed="false">
      <c r="A6" s="6" t="s">
        <v>618</v>
      </c>
      <c r="B6" s="6" t="s">
        <v>159</v>
      </c>
      <c r="C6" s="6" t="s">
        <v>619</v>
      </c>
      <c r="D6" s="6" t="s">
        <v>620</v>
      </c>
      <c r="E6" s="6" t="s">
        <v>621</v>
      </c>
      <c r="F6" s="7" t="n">
        <v>111</v>
      </c>
      <c r="G6" s="6" t="s">
        <v>622</v>
      </c>
      <c r="H6" s="6" t="s">
        <v>623</v>
      </c>
    </row>
    <row r="7" customFormat="false" ht="23.85" hidden="false" customHeight="false" outlineLevel="0" collapsed="false">
      <c r="A7" s="6" t="s">
        <v>624</v>
      </c>
      <c r="B7" s="6" t="s">
        <v>159</v>
      </c>
      <c r="C7" s="6" t="s">
        <v>625</v>
      </c>
      <c r="D7" s="6" t="s">
        <v>626</v>
      </c>
      <c r="E7" s="6" t="s">
        <v>613</v>
      </c>
      <c r="F7" s="7" t="n">
        <v>30</v>
      </c>
      <c r="G7" s="6" t="s">
        <v>627</v>
      </c>
      <c r="H7" s="6" t="s">
        <v>628</v>
      </c>
    </row>
    <row r="8" customFormat="false" ht="23.85" hidden="false" customHeight="false" outlineLevel="0" collapsed="false">
      <c r="A8" s="6" t="s">
        <v>629</v>
      </c>
      <c r="B8" s="6" t="s">
        <v>159</v>
      </c>
      <c r="C8" s="6" t="s">
        <v>630</v>
      </c>
      <c r="D8" s="6" t="s">
        <v>631</v>
      </c>
      <c r="E8" s="6" t="s">
        <v>613</v>
      </c>
      <c r="F8" s="7" t="n">
        <v>9</v>
      </c>
      <c r="G8" s="6" t="s">
        <v>632</v>
      </c>
      <c r="H8" s="6" t="s">
        <v>633</v>
      </c>
    </row>
    <row r="9" customFormat="false" ht="15" hidden="false" customHeight="false" outlineLevel="0" collapsed="false">
      <c r="A9" s="6" t="s">
        <v>634</v>
      </c>
      <c r="B9" s="6" t="s">
        <v>159</v>
      </c>
      <c r="C9" s="6" t="s">
        <v>635</v>
      </c>
      <c r="D9" s="6" t="s">
        <v>636</v>
      </c>
      <c r="E9" s="6" t="s">
        <v>621</v>
      </c>
      <c r="F9" s="7" t="n">
        <v>1</v>
      </c>
      <c r="G9" s="6" t="s">
        <v>637</v>
      </c>
      <c r="H9" s="6" t="s">
        <v>638</v>
      </c>
    </row>
    <row r="10" customFormat="false" ht="35.05" hidden="false" customHeight="false" outlineLevel="0" collapsed="false">
      <c r="A10" s="6" t="s">
        <v>639</v>
      </c>
      <c r="B10" s="6" t="s">
        <v>169</v>
      </c>
      <c r="C10" s="6" t="s">
        <v>640</v>
      </c>
      <c r="D10" s="6" t="s">
        <v>641</v>
      </c>
      <c r="E10" s="6" t="s">
        <v>602</v>
      </c>
      <c r="F10" s="7" t="n">
        <v>5</v>
      </c>
      <c r="G10" s="6" t="s">
        <v>642</v>
      </c>
      <c r="H10" s="6" t="s">
        <v>643</v>
      </c>
    </row>
    <row r="11" customFormat="false" ht="15" hidden="false" customHeight="false" outlineLevel="0" collapsed="false">
      <c r="A11" s="6" t="s">
        <v>644</v>
      </c>
      <c r="B11" s="6" t="s">
        <v>169</v>
      </c>
      <c r="C11" s="6" t="s">
        <v>645</v>
      </c>
      <c r="D11" s="6" t="s">
        <v>646</v>
      </c>
      <c r="E11" s="6" t="s">
        <v>613</v>
      </c>
      <c r="F11" s="7" t="n">
        <v>1</v>
      </c>
      <c r="G11" s="6" t="s">
        <v>647</v>
      </c>
      <c r="H11" s="6" t="s">
        <v>608</v>
      </c>
    </row>
    <row r="12" customFormat="false" ht="23.85" hidden="false" customHeight="false" outlineLevel="0" collapsed="false">
      <c r="A12" s="6" t="s">
        <v>648</v>
      </c>
      <c r="B12" s="6" t="s">
        <v>179</v>
      </c>
      <c r="C12" s="6" t="s">
        <v>649</v>
      </c>
      <c r="D12" s="6" t="s">
        <v>650</v>
      </c>
      <c r="E12" s="6" t="s">
        <v>613</v>
      </c>
      <c r="F12" s="7" t="n">
        <v>10</v>
      </c>
      <c r="G12" s="6" t="s">
        <v>651</v>
      </c>
      <c r="H12" s="6" t="s">
        <v>623</v>
      </c>
    </row>
    <row r="13" customFormat="false" ht="23.85" hidden="false" customHeight="false" outlineLevel="0" collapsed="false">
      <c r="A13" s="6" t="s">
        <v>652</v>
      </c>
      <c r="B13" s="6" t="s">
        <v>179</v>
      </c>
      <c r="C13" s="6" t="s">
        <v>653</v>
      </c>
      <c r="D13" s="6" t="s">
        <v>654</v>
      </c>
      <c r="E13" s="6" t="s">
        <v>613</v>
      </c>
      <c r="F13" s="7" t="n">
        <v>3</v>
      </c>
      <c r="G13" s="6" t="s">
        <v>655</v>
      </c>
      <c r="H13" s="6" t="s">
        <v>656</v>
      </c>
    </row>
    <row r="14" customFormat="false" ht="15" hidden="false" customHeight="false" outlineLevel="0" collapsed="false">
      <c r="A14" s="6" t="s">
        <v>657</v>
      </c>
      <c r="B14" s="6" t="s">
        <v>189</v>
      </c>
      <c r="C14" s="6" t="s">
        <v>658</v>
      </c>
      <c r="D14" s="6" t="s">
        <v>659</v>
      </c>
      <c r="E14" s="6" t="s">
        <v>613</v>
      </c>
      <c r="F14" s="7" t="n">
        <v>17</v>
      </c>
      <c r="G14" s="6" t="s">
        <v>660</v>
      </c>
      <c r="H14" s="6" t="s">
        <v>661</v>
      </c>
    </row>
    <row r="15" customFormat="false" ht="15" hidden="false" customHeight="false" outlineLevel="0" collapsed="false">
      <c r="A15" s="6" t="s">
        <v>662</v>
      </c>
      <c r="B15" s="6" t="s">
        <v>207</v>
      </c>
      <c r="C15" s="6" t="s">
        <v>663</v>
      </c>
      <c r="D15" s="6" t="s">
        <v>664</v>
      </c>
      <c r="E15" s="6" t="s">
        <v>621</v>
      </c>
      <c r="F15" s="7" t="n">
        <v>17</v>
      </c>
      <c r="G15" s="6" t="s">
        <v>660</v>
      </c>
      <c r="H15" s="6" t="s">
        <v>665</v>
      </c>
    </row>
    <row r="16" customFormat="false" ht="15" hidden="false" customHeight="false" outlineLevel="0" collapsed="false">
      <c r="A16" s="6" t="s">
        <v>666</v>
      </c>
      <c r="B16" s="6" t="s">
        <v>667</v>
      </c>
      <c r="C16" s="6" t="s">
        <v>668</v>
      </c>
      <c r="D16" s="6" t="s">
        <v>669</v>
      </c>
      <c r="E16" s="6" t="s">
        <v>602</v>
      </c>
      <c r="F16" s="7" t="n">
        <v>0</v>
      </c>
      <c r="G16" s="3"/>
      <c r="H16" s="6" t="s">
        <v>608</v>
      </c>
    </row>
    <row r="17" customFormat="false" ht="23.85" hidden="false" customHeight="false" outlineLevel="0" collapsed="false">
      <c r="A17" s="6" t="s">
        <v>670</v>
      </c>
      <c r="B17" s="6" t="s">
        <v>667</v>
      </c>
      <c r="C17" s="6" t="s">
        <v>671</v>
      </c>
      <c r="D17" s="6" t="s">
        <v>672</v>
      </c>
      <c r="E17" s="6" t="s">
        <v>613</v>
      </c>
      <c r="F17" s="7" t="n">
        <v>7</v>
      </c>
      <c r="G17" s="6" t="s">
        <v>673</v>
      </c>
      <c r="H17" s="6" t="s">
        <v>608</v>
      </c>
    </row>
    <row r="18" customFormat="false" ht="15" hidden="false" customHeight="false" outlineLevel="0" collapsed="false">
      <c r="A18" s="6" t="s">
        <v>674</v>
      </c>
      <c r="B18" s="6" t="s">
        <v>667</v>
      </c>
      <c r="C18" s="6" t="s">
        <v>675</v>
      </c>
      <c r="D18" s="6" t="s">
        <v>676</v>
      </c>
      <c r="E18" s="6" t="s">
        <v>613</v>
      </c>
      <c r="F18" s="7" t="n">
        <v>1</v>
      </c>
      <c r="G18" s="6" t="s">
        <v>677</v>
      </c>
      <c r="H18" s="6" t="s">
        <v>608</v>
      </c>
    </row>
    <row r="19" customFormat="false" ht="15" hidden="false" customHeight="false" outlineLevel="0" collapsed="false">
      <c r="A19" s="6" t="s">
        <v>678</v>
      </c>
      <c r="B19" s="6" t="s">
        <v>275</v>
      </c>
      <c r="C19" s="6" t="s">
        <v>679</v>
      </c>
      <c r="D19" s="6" t="s">
        <v>680</v>
      </c>
      <c r="E19" s="6" t="s">
        <v>602</v>
      </c>
      <c r="F19" s="7" t="n">
        <v>1</v>
      </c>
      <c r="G19" s="6" t="s">
        <v>681</v>
      </c>
      <c r="H19" s="6" t="s">
        <v>623</v>
      </c>
    </row>
    <row r="20" customFormat="false" ht="15" hidden="false" customHeight="false" outlineLevel="0" collapsed="false">
      <c r="A20" s="6" t="s">
        <v>682</v>
      </c>
      <c r="B20" s="6" t="s">
        <v>269</v>
      </c>
      <c r="C20" s="6" t="s">
        <v>683</v>
      </c>
      <c r="D20" s="6" t="s">
        <v>684</v>
      </c>
      <c r="E20" s="6" t="s">
        <v>621</v>
      </c>
      <c r="F20" s="7" t="n">
        <v>740</v>
      </c>
      <c r="G20" s="6" t="s">
        <v>685</v>
      </c>
      <c r="H20" s="6" t="s">
        <v>686</v>
      </c>
    </row>
    <row r="21" customFormat="false" ht="15" hidden="false" customHeight="false" outlineLevel="0" collapsed="false">
      <c r="A21" s="6" t="s">
        <v>687</v>
      </c>
      <c r="B21" s="6" t="s">
        <v>260</v>
      </c>
      <c r="C21" s="6" t="s">
        <v>688</v>
      </c>
      <c r="D21" s="6" t="s">
        <v>689</v>
      </c>
      <c r="E21" s="6" t="s">
        <v>621</v>
      </c>
      <c r="F21" s="7" t="n">
        <v>66</v>
      </c>
      <c r="G21" s="6" t="s">
        <v>690</v>
      </c>
      <c r="H21" s="6" t="s">
        <v>686</v>
      </c>
    </row>
    <row r="22" customFormat="false" ht="15" hidden="false" customHeight="false" outlineLevel="0" collapsed="false">
      <c r="A22" s="6" t="s">
        <v>691</v>
      </c>
      <c r="B22" s="6" t="s">
        <v>249</v>
      </c>
      <c r="C22" s="6" t="s">
        <v>692</v>
      </c>
      <c r="D22" s="6" t="s">
        <v>693</v>
      </c>
      <c r="E22" s="6" t="s">
        <v>613</v>
      </c>
      <c r="F22" s="7" t="n">
        <v>1</v>
      </c>
      <c r="G22" s="6" t="s">
        <v>694</v>
      </c>
      <c r="H22" s="6" t="s">
        <v>608</v>
      </c>
    </row>
    <row r="23" customFormat="false" ht="15" hidden="false" customHeight="false" outlineLevel="0" collapsed="false">
      <c r="A23" s="6" t="s">
        <v>695</v>
      </c>
      <c r="B23" s="6" t="s">
        <v>696</v>
      </c>
      <c r="C23" s="6" t="s">
        <v>697</v>
      </c>
      <c r="D23" s="6" t="s">
        <v>698</v>
      </c>
      <c r="E23" s="6" t="s">
        <v>602</v>
      </c>
      <c r="F23" s="7" t="n">
        <v>0</v>
      </c>
      <c r="G23" s="3"/>
      <c r="H23" s="6" t="s">
        <v>608</v>
      </c>
    </row>
    <row r="24" customFormat="false" ht="23.85" hidden="false" customHeight="false" outlineLevel="0" collapsed="false">
      <c r="A24" s="6" t="s">
        <v>699</v>
      </c>
      <c r="B24" s="6" t="s">
        <v>696</v>
      </c>
      <c r="C24" s="6" t="s">
        <v>700</v>
      </c>
      <c r="D24" s="6" t="s">
        <v>701</v>
      </c>
      <c r="E24" s="6" t="s">
        <v>602</v>
      </c>
      <c r="F24" s="7" t="n">
        <v>0</v>
      </c>
      <c r="G24" s="3"/>
      <c r="H24" s="6" t="s">
        <v>608</v>
      </c>
    </row>
    <row r="25" customFormat="false" ht="15" hidden="false" customHeight="false" outlineLevel="0" collapsed="false">
      <c r="A25" s="6" t="s">
        <v>702</v>
      </c>
      <c r="B25" s="6" t="s">
        <v>318</v>
      </c>
      <c r="C25" s="6" t="s">
        <v>703</v>
      </c>
      <c r="D25" s="6" t="s">
        <v>704</v>
      </c>
      <c r="E25" s="6" t="s">
        <v>602</v>
      </c>
      <c r="F25" s="7" t="n">
        <v>0</v>
      </c>
      <c r="G25" s="3"/>
      <c r="H25" s="6" t="s">
        <v>705</v>
      </c>
    </row>
    <row r="26" customFormat="false" ht="15" hidden="false" customHeight="false" outlineLevel="0" collapsed="false">
      <c r="A26" s="6" t="s">
        <v>706</v>
      </c>
      <c r="B26" s="6" t="s">
        <v>707</v>
      </c>
      <c r="C26" s="6" t="s">
        <v>708</v>
      </c>
      <c r="D26" s="6" t="s">
        <v>709</v>
      </c>
      <c r="E26" s="6" t="s">
        <v>621</v>
      </c>
      <c r="F26" s="7" t="n">
        <v>0</v>
      </c>
      <c r="G26" s="3"/>
      <c r="H26" s="6" t="s">
        <v>303</v>
      </c>
    </row>
    <row r="27" customFormat="false" ht="15" hidden="false" customHeight="false" outlineLevel="0" collapsed="false">
      <c r="A27" s="6" t="s">
        <v>710</v>
      </c>
      <c r="B27" s="6" t="s">
        <v>151</v>
      </c>
      <c r="C27" s="6" t="s">
        <v>708</v>
      </c>
      <c r="D27" s="6" t="s">
        <v>711</v>
      </c>
      <c r="E27" s="6" t="s">
        <v>613</v>
      </c>
      <c r="F27" s="7" t="n">
        <v>1</v>
      </c>
      <c r="G27" s="6" t="s">
        <v>712</v>
      </c>
      <c r="H27" s="6" t="s">
        <v>713</v>
      </c>
    </row>
    <row r="28" customFormat="false" ht="15" hidden="false" customHeight="false" outlineLevel="0" collapsed="false">
      <c r="A28" s="6" t="s">
        <v>714</v>
      </c>
      <c r="B28" s="6" t="s">
        <v>715</v>
      </c>
      <c r="C28" s="6" t="s">
        <v>716</v>
      </c>
      <c r="D28" s="6" t="s">
        <v>717</v>
      </c>
      <c r="E28" s="6" t="s">
        <v>602</v>
      </c>
      <c r="F28" s="7" t="n">
        <v>0</v>
      </c>
      <c r="G28" s="3"/>
      <c r="H28" s="6" t="s">
        <v>718</v>
      </c>
    </row>
    <row r="29" customFormat="false" ht="15" hidden="false" customHeight="false" outlineLevel="0" collapsed="false">
      <c r="A29" s="6" t="s">
        <v>719</v>
      </c>
      <c r="B29" s="6" t="s">
        <v>720</v>
      </c>
      <c r="C29" s="6" t="s">
        <v>721</v>
      </c>
      <c r="D29" s="6" t="s">
        <v>722</v>
      </c>
      <c r="E29" s="6" t="s">
        <v>621</v>
      </c>
      <c r="F29" s="7" t="n">
        <v>2928</v>
      </c>
      <c r="G29" s="3"/>
      <c r="H29" s="6" t="s">
        <v>723</v>
      </c>
    </row>
    <row r="30" customFormat="false" ht="15" hidden="false" customHeight="false" outlineLevel="0" collapsed="false">
      <c r="A30" s="6" t="s">
        <v>724</v>
      </c>
      <c r="B30" s="6" t="s">
        <v>725</v>
      </c>
      <c r="C30" s="6" t="s">
        <v>726</v>
      </c>
      <c r="D30" s="6" t="s">
        <v>727</v>
      </c>
      <c r="E30" s="6" t="s">
        <v>621</v>
      </c>
      <c r="F30" s="7" t="n">
        <v>1011</v>
      </c>
      <c r="G30" s="6" t="s">
        <v>728</v>
      </c>
      <c r="H30" s="6" t="s">
        <v>470</v>
      </c>
    </row>
    <row r="31" customFormat="false" ht="15" hidden="false" customHeight="false" outlineLevel="0" collapsed="false">
      <c r="A31" s="6" t="s">
        <v>729</v>
      </c>
      <c r="B31" s="6" t="s">
        <v>409</v>
      </c>
      <c r="C31" s="6" t="s">
        <v>730</v>
      </c>
      <c r="D31" s="6" t="s">
        <v>731</v>
      </c>
      <c r="E31" s="6" t="s">
        <v>621</v>
      </c>
      <c r="F31" s="7" t="n">
        <v>1</v>
      </c>
      <c r="G31" s="6" t="s">
        <v>732</v>
      </c>
      <c r="H31" s="6" t="s">
        <v>733</v>
      </c>
    </row>
    <row r="32" customFormat="false" ht="15" hidden="false" customHeight="false" outlineLevel="0" collapsed="false">
      <c r="A32" s="6" t="s">
        <v>734</v>
      </c>
      <c r="B32" s="6" t="s">
        <v>735</v>
      </c>
      <c r="C32" s="6" t="s">
        <v>736</v>
      </c>
      <c r="D32" s="6" t="s">
        <v>737</v>
      </c>
      <c r="E32" s="6" t="s">
        <v>613</v>
      </c>
      <c r="F32" s="7" t="n">
        <v>5</v>
      </c>
      <c r="G32" s="6" t="s">
        <v>738</v>
      </c>
      <c r="H32" s="6" t="s">
        <v>608</v>
      </c>
    </row>
    <row r="33" customFormat="false" ht="23.85" hidden="false" customHeight="false" outlineLevel="0" collapsed="false">
      <c r="A33" s="6" t="s">
        <v>739</v>
      </c>
      <c r="B33" s="6" t="s">
        <v>324</v>
      </c>
      <c r="C33" s="6" t="s">
        <v>740</v>
      </c>
      <c r="D33" s="6" t="s">
        <v>741</v>
      </c>
      <c r="E33" s="6" t="s">
        <v>621</v>
      </c>
      <c r="F33" s="7" t="n">
        <v>10</v>
      </c>
      <c r="G33" s="6" t="s">
        <v>742</v>
      </c>
      <c r="H33" s="6" t="s">
        <v>743</v>
      </c>
    </row>
    <row r="34" customFormat="false" ht="15" hidden="false" customHeight="false" outlineLevel="0" collapsed="false">
      <c r="A34" s="6" t="s">
        <v>744</v>
      </c>
      <c r="B34" s="6" t="s">
        <v>745</v>
      </c>
      <c r="C34" s="6" t="s">
        <v>746</v>
      </c>
      <c r="D34" s="6" t="s">
        <v>747</v>
      </c>
      <c r="E34" s="6" t="s">
        <v>621</v>
      </c>
      <c r="F34" s="7" t="n">
        <v>0</v>
      </c>
      <c r="G34" s="3"/>
      <c r="H34" s="6" t="s">
        <v>303</v>
      </c>
    </row>
    <row r="35" customFormat="false" ht="15" hidden="false" customHeight="false" outlineLevel="0" collapsed="false">
      <c r="A35" s="6" t="s">
        <v>748</v>
      </c>
      <c r="B35" s="6" t="s">
        <v>207</v>
      </c>
      <c r="C35" s="6" t="s">
        <v>749</v>
      </c>
      <c r="D35" s="6" t="s">
        <v>750</v>
      </c>
      <c r="E35" s="6" t="s">
        <v>602</v>
      </c>
      <c r="F35" s="7" t="n">
        <v>0</v>
      </c>
      <c r="G35" s="3"/>
      <c r="H35" s="6" t="s">
        <v>751</v>
      </c>
    </row>
    <row r="36" customFormat="false" ht="23.85" hidden="false" customHeight="false" outlineLevel="0" collapsed="false">
      <c r="A36" s="6" t="s">
        <v>752</v>
      </c>
      <c r="B36" s="6" t="s">
        <v>753</v>
      </c>
      <c r="C36" s="6" t="s">
        <v>754</v>
      </c>
      <c r="D36" s="6" t="s">
        <v>755</v>
      </c>
      <c r="E36" s="6" t="s">
        <v>602</v>
      </c>
      <c r="F36" s="7" t="n">
        <v>0</v>
      </c>
      <c r="G36" s="3"/>
      <c r="H36" s="6" t="s">
        <v>756</v>
      </c>
    </row>
    <row r="37" customFormat="false" ht="15" hidden="false" customHeight="false" outlineLevel="0" collapsed="false">
      <c r="A37" s="6" t="s">
        <v>757</v>
      </c>
      <c r="B37" s="6" t="s">
        <v>306</v>
      </c>
      <c r="C37" s="6" t="s">
        <v>758</v>
      </c>
      <c r="D37" s="6" t="s">
        <v>759</v>
      </c>
      <c r="E37" s="6" t="s">
        <v>621</v>
      </c>
      <c r="F37" s="7" t="n">
        <v>12</v>
      </c>
      <c r="G37" s="6" t="s">
        <v>760</v>
      </c>
      <c r="H37" s="6" t="s">
        <v>761</v>
      </c>
    </row>
  </sheetData>
  <autoFilter ref="A1:H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60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0" t="s">
        <v>762</v>
      </c>
      <c r="B1" s="10" t="s">
        <v>1</v>
      </c>
      <c r="C1" s="10" t="s">
        <v>763</v>
      </c>
      <c r="D1" s="10" t="s">
        <v>764</v>
      </c>
      <c r="E1" s="10" t="s">
        <v>765</v>
      </c>
      <c r="F1" s="10" t="s">
        <v>96</v>
      </c>
    </row>
    <row r="2" customFormat="false" ht="15" hidden="false" customHeight="false" outlineLevel="0" collapsed="false">
      <c r="A2" s="6" t="s">
        <v>284</v>
      </c>
      <c r="B2" s="6" t="s">
        <v>243</v>
      </c>
      <c r="C2" s="7" t="n">
        <v>10887</v>
      </c>
      <c r="D2" s="8" t="n">
        <f aca="false">IF(README!$B$9=0,"",C2/README!$B$9)</f>
        <v>0.875653502774873</v>
      </c>
      <c r="E2" s="6" t="s">
        <v>766</v>
      </c>
      <c r="F2" s="6" t="s">
        <v>103</v>
      </c>
    </row>
    <row r="3" customFormat="false" ht="15" hidden="false" customHeight="false" outlineLevel="0" collapsed="false">
      <c r="A3" s="6" t="s">
        <v>284</v>
      </c>
      <c r="B3" s="6" t="s">
        <v>767</v>
      </c>
      <c r="C3" s="7" t="n">
        <v>1183</v>
      </c>
      <c r="D3" s="8" t="n">
        <f aca="false">IF(README!$B$9=0,"",C3/README!$B$9)</f>
        <v>0.0951500040215555</v>
      </c>
      <c r="E3" s="6" t="s">
        <v>768</v>
      </c>
      <c r="F3" s="6" t="s">
        <v>103</v>
      </c>
    </row>
    <row r="4" customFormat="false" ht="15" hidden="false" customHeight="false" outlineLevel="0" collapsed="false">
      <c r="A4" s="6" t="s">
        <v>284</v>
      </c>
      <c r="B4" s="6" t="s">
        <v>769</v>
      </c>
      <c r="C4" s="7" t="n">
        <v>363</v>
      </c>
      <c r="D4" s="8" t="n">
        <f aca="false">IF(README!$B$9=0,"",C4/README!$B$9)</f>
        <v>0.0291964932035711</v>
      </c>
      <c r="E4" s="6" t="s">
        <v>290</v>
      </c>
      <c r="F4" s="6" t="s">
        <v>290</v>
      </c>
    </row>
    <row r="5" customFormat="false" ht="15" hidden="false" customHeight="false" outlineLevel="0" collapsed="false">
      <c r="A5" s="6" t="s">
        <v>433</v>
      </c>
      <c r="B5" s="6" t="s">
        <v>243</v>
      </c>
      <c r="C5" s="7" t="n">
        <v>6506</v>
      </c>
      <c r="D5" s="8" t="n">
        <f aca="false">IF(README!$B$9=0,"",C5/README!$B$9)</f>
        <v>0.523284806563179</v>
      </c>
      <c r="E5" s="6" t="s">
        <v>770</v>
      </c>
      <c r="F5" s="6" t="s">
        <v>247</v>
      </c>
    </row>
    <row r="6" customFormat="false" ht="15" hidden="false" customHeight="false" outlineLevel="0" collapsed="false">
      <c r="A6" s="6" t="s">
        <v>433</v>
      </c>
      <c r="B6" s="6" t="s">
        <v>767</v>
      </c>
      <c r="C6" s="7" t="n">
        <v>5927</v>
      </c>
      <c r="D6" s="8" t="n">
        <f aca="false">IF(README!$B$9=0,"",C6/README!$B$9)</f>
        <v>0.476715193436821</v>
      </c>
      <c r="E6" s="6" t="s">
        <v>771</v>
      </c>
      <c r="F6" s="6" t="s">
        <v>247</v>
      </c>
    </row>
    <row r="7" customFormat="false" ht="15" hidden="false" customHeight="false" outlineLevel="0" collapsed="false">
      <c r="A7" s="6" t="s">
        <v>423</v>
      </c>
      <c r="B7" s="6" t="s">
        <v>772</v>
      </c>
      <c r="C7" s="7" t="n">
        <v>8620</v>
      </c>
      <c r="D7" s="8" t="n">
        <f aca="false">IF(README!$B$9=0,"",C7/README!$B$9)</f>
        <v>0.693316174696373</v>
      </c>
      <c r="E7" s="6" t="s">
        <v>427</v>
      </c>
      <c r="F7" s="6" t="s">
        <v>103</v>
      </c>
    </row>
    <row r="8" customFormat="false" ht="15" hidden="false" customHeight="false" outlineLevel="0" collapsed="false">
      <c r="A8" s="6" t="s">
        <v>423</v>
      </c>
      <c r="B8" s="6" t="s">
        <v>773</v>
      </c>
      <c r="C8" s="7" t="n">
        <v>2063</v>
      </c>
      <c r="D8" s="8" t="n">
        <f aca="false">IF(README!$B$9=0,"",C8/README!$B$9)</f>
        <v>0.165929381484758</v>
      </c>
      <c r="E8" s="6" t="s">
        <v>290</v>
      </c>
      <c r="F8" s="6" t="s">
        <v>290</v>
      </c>
    </row>
    <row r="9" customFormat="false" ht="15" hidden="false" customHeight="false" outlineLevel="0" collapsed="false">
      <c r="A9" s="6" t="s">
        <v>423</v>
      </c>
      <c r="B9" s="6" t="s">
        <v>428</v>
      </c>
      <c r="C9" s="7" t="n">
        <v>1750</v>
      </c>
      <c r="D9" s="8" t="n">
        <f aca="false">IF(README!$B$9=0,"",C9/README!$B$9)</f>
        <v>0.140754443818869</v>
      </c>
      <c r="E9" s="6" t="s">
        <v>290</v>
      </c>
      <c r="F9" s="6" t="s">
        <v>290</v>
      </c>
    </row>
    <row r="10" customFormat="false" ht="15" hidden="false" customHeight="false" outlineLevel="0" collapsed="false">
      <c r="A10" s="6" t="s">
        <v>409</v>
      </c>
      <c r="B10" s="6" t="s">
        <v>411</v>
      </c>
      <c r="C10" s="7" t="n">
        <v>12432</v>
      </c>
      <c r="D10" s="8" t="n">
        <f aca="false">IF(README!$B$9=0,"",C10/README!$B$9)</f>
        <v>0.999919568889246</v>
      </c>
      <c r="E10" s="6" t="s">
        <v>763</v>
      </c>
      <c r="F10" s="6" t="s">
        <v>103</v>
      </c>
    </row>
    <row r="11" customFormat="false" ht="15" hidden="false" customHeight="false" outlineLevel="0" collapsed="false">
      <c r="A11" s="6" t="s">
        <v>409</v>
      </c>
      <c r="B11" s="6" t="s">
        <v>774</v>
      </c>
      <c r="C11" s="7" t="n">
        <v>1</v>
      </c>
      <c r="D11" s="8" t="n">
        <f aca="false">IF(README!$B$9=0,"",C11/README!$B$9)</f>
        <v>8.04311107536395E-005</v>
      </c>
      <c r="E11" s="6" t="s">
        <v>775</v>
      </c>
      <c r="F11" s="6" t="s">
        <v>247</v>
      </c>
    </row>
    <row r="12" customFormat="false" ht="15" hidden="false" customHeight="false" outlineLevel="0" collapsed="false">
      <c r="A12" s="6" t="s">
        <v>416</v>
      </c>
      <c r="B12" s="6" t="s">
        <v>411</v>
      </c>
      <c r="C12" s="7" t="n">
        <v>4710</v>
      </c>
      <c r="D12" s="8" t="n">
        <f aca="false">IF(README!$B$9=0,"",C12/README!$B$9)</f>
        <v>0.378830531649642</v>
      </c>
      <c r="E12" s="6" t="s">
        <v>763</v>
      </c>
      <c r="F12" s="6" t="s">
        <v>103</v>
      </c>
    </row>
    <row r="13" customFormat="false" ht="15" hidden="false" customHeight="false" outlineLevel="0" collapsed="false">
      <c r="A13" s="6" t="s">
        <v>416</v>
      </c>
      <c r="B13" s="6" t="s">
        <v>772</v>
      </c>
      <c r="C13" s="7" t="n">
        <v>4628</v>
      </c>
      <c r="D13" s="8" t="n">
        <f aca="false">IF(README!$B$9=0,"",C13/README!$B$9)</f>
        <v>0.372235180567844</v>
      </c>
      <c r="E13" s="6" t="s">
        <v>418</v>
      </c>
      <c r="F13" s="6" t="s">
        <v>103</v>
      </c>
    </row>
    <row r="14" customFormat="false" ht="15" hidden="false" customHeight="false" outlineLevel="0" collapsed="false">
      <c r="A14" s="6" t="s">
        <v>416</v>
      </c>
      <c r="B14" s="6" t="s">
        <v>776</v>
      </c>
      <c r="C14" s="7" t="n">
        <v>1471</v>
      </c>
      <c r="D14" s="8" t="n">
        <f aca="false">IF(README!$B$9=0,"",C14/README!$B$9)</f>
        <v>0.118314163918604</v>
      </c>
      <c r="E14" s="6" t="s">
        <v>777</v>
      </c>
      <c r="F14" s="6" t="s">
        <v>103</v>
      </c>
    </row>
    <row r="15" customFormat="false" ht="15" hidden="false" customHeight="false" outlineLevel="0" collapsed="false">
      <c r="A15" s="6" t="s">
        <v>416</v>
      </c>
      <c r="B15" s="6" t="s">
        <v>778</v>
      </c>
      <c r="C15" s="7" t="n">
        <v>955</v>
      </c>
      <c r="D15" s="8" t="n">
        <f aca="false">IF(README!$B$9=0,"",C15/README!$B$9)</f>
        <v>0.0768117107697257</v>
      </c>
      <c r="E15" s="6" t="s">
        <v>779</v>
      </c>
      <c r="F15" s="6" t="s">
        <v>103</v>
      </c>
    </row>
    <row r="16" customFormat="false" ht="15" hidden="false" customHeight="false" outlineLevel="0" collapsed="false">
      <c r="A16" s="6" t="s">
        <v>416</v>
      </c>
      <c r="B16" s="6" t="s">
        <v>774</v>
      </c>
      <c r="C16" s="7" t="n">
        <v>401</v>
      </c>
      <c r="D16" s="8" t="n">
        <f aca="false">IF(README!$B$9=0,"",C16/README!$B$9)</f>
        <v>0.0322528754122094</v>
      </c>
      <c r="E16" s="6" t="s">
        <v>775</v>
      </c>
      <c r="F16" s="6" t="s">
        <v>103</v>
      </c>
    </row>
    <row r="17" customFormat="false" ht="15" hidden="false" customHeight="false" outlineLevel="0" collapsed="false">
      <c r="A17" s="6" t="s">
        <v>416</v>
      </c>
      <c r="B17" s="6" t="s">
        <v>780</v>
      </c>
      <c r="C17" s="7" t="n">
        <v>149</v>
      </c>
      <c r="D17" s="8" t="n">
        <f aca="false">IF(README!$B$9=0,"",C17/README!$B$9)</f>
        <v>0.0119842355022923</v>
      </c>
      <c r="E17" s="6" t="s">
        <v>781</v>
      </c>
      <c r="F17" s="6" t="s">
        <v>103</v>
      </c>
    </row>
    <row r="18" customFormat="false" ht="15" hidden="false" customHeight="false" outlineLevel="0" collapsed="false">
      <c r="A18" s="6" t="s">
        <v>416</v>
      </c>
      <c r="B18" s="6" t="s">
        <v>782</v>
      </c>
      <c r="C18" s="7" t="n">
        <v>74</v>
      </c>
      <c r="D18" s="8" t="n">
        <f aca="false">IF(README!$B$9=0,"",C18/README!$B$9)</f>
        <v>0.00595190219576932</v>
      </c>
      <c r="E18" s="6" t="s">
        <v>783</v>
      </c>
      <c r="F18" s="6" t="s">
        <v>103</v>
      </c>
    </row>
    <row r="19" customFormat="false" ht="15" hidden="false" customHeight="false" outlineLevel="0" collapsed="false">
      <c r="A19" s="6" t="s">
        <v>416</v>
      </c>
      <c r="B19" s="6" t="s">
        <v>784</v>
      </c>
      <c r="C19" s="7" t="n">
        <v>43</v>
      </c>
      <c r="D19" s="8" t="n">
        <f aca="false">IF(README!$B$9=0,"",C19/README!$B$9)</f>
        <v>0.0034585377624065</v>
      </c>
      <c r="E19" s="6" t="s">
        <v>785</v>
      </c>
      <c r="F19" s="6" t="s">
        <v>247</v>
      </c>
    </row>
    <row r="20" customFormat="false" ht="15" hidden="false" customHeight="false" outlineLevel="0" collapsed="false">
      <c r="A20" s="6" t="s">
        <v>416</v>
      </c>
      <c r="B20" s="6" t="s">
        <v>786</v>
      </c>
      <c r="C20" s="7" t="n">
        <v>1</v>
      </c>
      <c r="D20" s="8" t="n">
        <f aca="false">IF(README!$B$9=0,"",C20/README!$B$9)</f>
        <v>8.04311107536395E-005</v>
      </c>
      <c r="E20" s="6" t="s">
        <v>787</v>
      </c>
      <c r="F20" s="6" t="s">
        <v>247</v>
      </c>
    </row>
    <row r="21" customFormat="false" ht="15" hidden="false" customHeight="false" outlineLevel="0" collapsed="false">
      <c r="A21" s="6" t="s">
        <v>416</v>
      </c>
      <c r="B21" s="6" t="s">
        <v>788</v>
      </c>
      <c r="C21" s="7" t="n">
        <v>1</v>
      </c>
      <c r="D21" s="8" t="n">
        <f aca="false">IF(README!$B$9=0,"",C21/README!$B$9)</f>
        <v>8.04311107536395E-005</v>
      </c>
      <c r="E21" s="6" t="s">
        <v>789</v>
      </c>
      <c r="F21" s="6" t="s">
        <v>247</v>
      </c>
    </row>
    <row r="22" customFormat="false" ht="15" hidden="false" customHeight="false" outlineLevel="0" collapsed="false">
      <c r="A22" s="6" t="s">
        <v>440</v>
      </c>
      <c r="B22" s="6" t="s">
        <v>772</v>
      </c>
      <c r="C22" s="7" t="n">
        <v>7953</v>
      </c>
      <c r="D22" s="8" t="n">
        <f aca="false">IF(README!$B$9=0,"",C22/README!$B$9)</f>
        <v>0.639668623823695</v>
      </c>
      <c r="E22" s="6" t="s">
        <v>444</v>
      </c>
      <c r="F22" s="6" t="s">
        <v>103</v>
      </c>
    </row>
    <row r="23" customFormat="false" ht="15" hidden="false" customHeight="false" outlineLevel="0" collapsed="false">
      <c r="A23" s="6" t="s">
        <v>440</v>
      </c>
      <c r="B23" s="6" t="s">
        <v>445</v>
      </c>
      <c r="C23" s="7" t="n">
        <v>2929</v>
      </c>
      <c r="D23" s="8" t="n">
        <f aca="false">IF(README!$B$9=0,"",C23/README!$B$9)</f>
        <v>0.23558272339741</v>
      </c>
      <c r="E23" s="6" t="s">
        <v>790</v>
      </c>
      <c r="F23" s="6" t="s">
        <v>247</v>
      </c>
    </row>
    <row r="24" customFormat="false" ht="15" hidden="false" customHeight="false" outlineLevel="0" collapsed="false">
      <c r="A24" s="6" t="s">
        <v>440</v>
      </c>
      <c r="B24" s="6" t="s">
        <v>791</v>
      </c>
      <c r="C24" s="7" t="n">
        <v>1527</v>
      </c>
      <c r="D24" s="8" t="n">
        <f aca="false">IF(README!$B$9=0,"",C24/README!$B$9)</f>
        <v>0.122818306120808</v>
      </c>
      <c r="E24" s="6" t="s">
        <v>792</v>
      </c>
      <c r="F24" s="6" t="s">
        <v>247</v>
      </c>
    </row>
    <row r="25" customFormat="false" ht="15" hidden="false" customHeight="false" outlineLevel="0" collapsed="false">
      <c r="A25" s="6" t="s">
        <v>440</v>
      </c>
      <c r="B25" s="6" t="s">
        <v>793</v>
      </c>
      <c r="C25" s="7" t="n">
        <v>13</v>
      </c>
      <c r="D25" s="8" t="n">
        <f aca="false">IF(README!$B$9=0,"",C25/README!$B$9)</f>
        <v>0.00104560443979731</v>
      </c>
      <c r="E25" s="6" t="s">
        <v>794</v>
      </c>
      <c r="F25" s="6" t="s">
        <v>247</v>
      </c>
    </row>
    <row r="26" customFormat="false" ht="15" hidden="false" customHeight="false" outlineLevel="0" collapsed="false">
      <c r="A26" s="6" t="s">
        <v>440</v>
      </c>
      <c r="B26" s="6" t="s">
        <v>795</v>
      </c>
      <c r="C26" s="7" t="n">
        <v>5</v>
      </c>
      <c r="D26" s="8" t="n">
        <f aca="false">IF(README!$B$9=0,"",C26/README!$B$9)</f>
        <v>0.000402155553768198</v>
      </c>
      <c r="E26" s="6" t="s">
        <v>796</v>
      </c>
      <c r="F26" s="6" t="s">
        <v>247</v>
      </c>
    </row>
    <row r="27" customFormat="false" ht="15" hidden="false" customHeight="false" outlineLevel="0" collapsed="false">
      <c r="A27" s="6" t="s">
        <v>440</v>
      </c>
      <c r="B27" s="6" t="s">
        <v>797</v>
      </c>
      <c r="C27" s="7" t="n">
        <v>3</v>
      </c>
      <c r="D27" s="8" t="n">
        <f aca="false">IF(README!$B$9=0,"",C27/README!$B$9)</f>
        <v>0.000241293332260919</v>
      </c>
      <c r="E27" s="6" t="s">
        <v>798</v>
      </c>
      <c r="F27" s="6" t="s">
        <v>247</v>
      </c>
    </row>
    <row r="28" customFormat="false" ht="15" hidden="false" customHeight="false" outlineLevel="0" collapsed="false">
      <c r="A28" s="6" t="s">
        <v>440</v>
      </c>
      <c r="B28" s="6" t="s">
        <v>799</v>
      </c>
      <c r="C28" s="7" t="n">
        <v>1</v>
      </c>
      <c r="D28" s="8" t="n">
        <f aca="false">IF(README!$B$9=0,"",C28/README!$B$9)</f>
        <v>8.04311107536395E-005</v>
      </c>
      <c r="E28" s="6" t="s">
        <v>800</v>
      </c>
      <c r="F28" s="6" t="s">
        <v>247</v>
      </c>
    </row>
    <row r="29" customFormat="false" ht="15" hidden="false" customHeight="false" outlineLevel="0" collapsed="false">
      <c r="A29" s="6" t="s">
        <v>440</v>
      </c>
      <c r="B29" s="6" t="s">
        <v>801</v>
      </c>
      <c r="C29" s="7" t="n">
        <v>1</v>
      </c>
      <c r="D29" s="8" t="n">
        <f aca="false">IF(README!$B$9=0,"",C29/README!$B$9)</f>
        <v>8.04311107536395E-005</v>
      </c>
      <c r="E29" s="6" t="s">
        <v>800</v>
      </c>
      <c r="F29" s="6" t="s">
        <v>247</v>
      </c>
    </row>
    <row r="30" customFormat="false" ht="15" hidden="false" customHeight="false" outlineLevel="0" collapsed="false">
      <c r="A30" s="6" t="s">
        <v>440</v>
      </c>
      <c r="B30" s="6" t="s">
        <v>802</v>
      </c>
      <c r="C30" s="7" t="n">
        <v>1</v>
      </c>
      <c r="D30" s="8" t="n">
        <f aca="false">IF(README!$B$9=0,"",C30/README!$B$9)</f>
        <v>8.04311107536395E-005</v>
      </c>
      <c r="E30" s="6" t="s">
        <v>803</v>
      </c>
      <c r="F30" s="6" t="s">
        <v>247</v>
      </c>
    </row>
    <row r="31" customFormat="false" ht="15" hidden="false" customHeight="false" outlineLevel="0" collapsed="false">
      <c r="A31" s="6" t="s">
        <v>450</v>
      </c>
      <c r="B31" s="6" t="s">
        <v>772</v>
      </c>
      <c r="C31" s="7" t="n">
        <v>8963</v>
      </c>
      <c r="D31" s="8" t="n">
        <f aca="false">IF(README!$B$9=0,"",C31/README!$B$9)</f>
        <v>0.720904045684871</v>
      </c>
      <c r="E31" s="6" t="s">
        <v>444</v>
      </c>
      <c r="F31" s="6" t="s">
        <v>103</v>
      </c>
    </row>
    <row r="32" customFormat="false" ht="15" hidden="false" customHeight="false" outlineLevel="0" collapsed="false">
      <c r="A32" s="6" t="s">
        <v>450</v>
      </c>
      <c r="B32" s="6" t="s">
        <v>804</v>
      </c>
      <c r="C32" s="7" t="n">
        <v>1852</v>
      </c>
      <c r="D32" s="8" t="n">
        <f aca="false">IF(README!$B$9=0,"",C32/README!$B$9)</f>
        <v>0.14895841711574</v>
      </c>
      <c r="E32" s="6" t="s">
        <v>792</v>
      </c>
      <c r="F32" s="6" t="s">
        <v>247</v>
      </c>
    </row>
    <row r="33" customFormat="false" ht="15" hidden="false" customHeight="false" outlineLevel="0" collapsed="false">
      <c r="A33" s="6" t="s">
        <v>450</v>
      </c>
      <c r="B33" s="6" t="s">
        <v>454</v>
      </c>
      <c r="C33" s="7" t="n">
        <v>1580</v>
      </c>
      <c r="D33" s="8" t="n">
        <f aca="false">IF(README!$B$9=0,"",C33/README!$B$9)</f>
        <v>0.12708115499075</v>
      </c>
      <c r="E33" s="6" t="s">
        <v>790</v>
      </c>
      <c r="F33" s="6" t="s">
        <v>247</v>
      </c>
    </row>
    <row r="34" customFormat="false" ht="15" hidden="false" customHeight="false" outlineLevel="0" collapsed="false">
      <c r="A34" s="6" t="s">
        <v>450</v>
      </c>
      <c r="B34" s="6" t="s">
        <v>805</v>
      </c>
      <c r="C34" s="7" t="n">
        <v>14</v>
      </c>
      <c r="D34" s="8" t="n">
        <f aca="false">IF(README!$B$9=0,"",C34/README!$B$9)</f>
        <v>0.00112603555055095</v>
      </c>
      <c r="E34" s="6" t="s">
        <v>800</v>
      </c>
      <c r="F34" s="6" t="s">
        <v>247</v>
      </c>
    </row>
    <row r="35" customFormat="false" ht="15" hidden="false" customHeight="false" outlineLevel="0" collapsed="false">
      <c r="A35" s="6" t="s">
        <v>450</v>
      </c>
      <c r="B35" s="6" t="s">
        <v>806</v>
      </c>
      <c r="C35" s="7" t="n">
        <v>13</v>
      </c>
      <c r="D35" s="8" t="n">
        <f aca="false">IF(README!$B$9=0,"",C35/README!$B$9)</f>
        <v>0.00104560443979731</v>
      </c>
      <c r="E35" s="6" t="s">
        <v>794</v>
      </c>
      <c r="F35" s="6" t="s">
        <v>247</v>
      </c>
    </row>
    <row r="36" customFormat="false" ht="15" hidden="false" customHeight="false" outlineLevel="0" collapsed="false">
      <c r="A36" s="6" t="s">
        <v>450</v>
      </c>
      <c r="B36" s="6" t="s">
        <v>807</v>
      </c>
      <c r="C36" s="7" t="n">
        <v>5</v>
      </c>
      <c r="D36" s="8" t="n">
        <f aca="false">IF(README!$B$9=0,"",C36/README!$B$9)</f>
        <v>0.000402155553768198</v>
      </c>
      <c r="E36" s="6" t="s">
        <v>796</v>
      </c>
      <c r="F36" s="6" t="s">
        <v>247</v>
      </c>
    </row>
    <row r="37" customFormat="false" ht="15" hidden="false" customHeight="false" outlineLevel="0" collapsed="false">
      <c r="A37" s="6" t="s">
        <v>450</v>
      </c>
      <c r="B37" s="6" t="s">
        <v>808</v>
      </c>
      <c r="C37" s="7" t="n">
        <v>3</v>
      </c>
      <c r="D37" s="8" t="n">
        <f aca="false">IF(README!$B$9=0,"",C37/README!$B$9)</f>
        <v>0.000241293332260919</v>
      </c>
      <c r="E37" s="6" t="s">
        <v>798</v>
      </c>
      <c r="F37" s="6" t="s">
        <v>247</v>
      </c>
    </row>
    <row r="38" customFormat="false" ht="15" hidden="false" customHeight="false" outlineLevel="0" collapsed="false">
      <c r="A38" s="6" t="s">
        <v>450</v>
      </c>
      <c r="B38" s="6" t="s">
        <v>809</v>
      </c>
      <c r="C38" s="7" t="n">
        <v>1</v>
      </c>
      <c r="D38" s="8" t="n">
        <f aca="false">IF(README!$B$9=0,"",C38/README!$B$9)</f>
        <v>8.04311107536395E-005</v>
      </c>
      <c r="E38" s="6" t="s">
        <v>800</v>
      </c>
      <c r="F38" s="6" t="s">
        <v>247</v>
      </c>
    </row>
    <row r="39" customFormat="false" ht="15" hidden="false" customHeight="false" outlineLevel="0" collapsed="false">
      <c r="A39" s="6" t="s">
        <v>450</v>
      </c>
      <c r="B39" s="6" t="s">
        <v>810</v>
      </c>
      <c r="C39" s="7" t="n">
        <v>1</v>
      </c>
      <c r="D39" s="8" t="n">
        <f aca="false">IF(README!$B$9=0,"",C39/README!$B$9)</f>
        <v>8.04311107536395E-005</v>
      </c>
      <c r="E39" s="6" t="s">
        <v>800</v>
      </c>
      <c r="F39" s="6" t="s">
        <v>247</v>
      </c>
    </row>
    <row r="40" customFormat="false" ht="15" hidden="false" customHeight="false" outlineLevel="0" collapsed="false">
      <c r="A40" s="6" t="s">
        <v>450</v>
      </c>
      <c r="B40" s="6" t="s">
        <v>811</v>
      </c>
      <c r="C40" s="7" t="n">
        <v>1</v>
      </c>
      <c r="D40" s="8" t="n">
        <f aca="false">IF(README!$B$9=0,"",C40/README!$B$9)</f>
        <v>8.04311107536395E-005</v>
      </c>
      <c r="E40" s="6" t="s">
        <v>803</v>
      </c>
      <c r="F40" s="6" t="s">
        <v>247</v>
      </c>
    </row>
    <row r="41" customFormat="false" ht="15" hidden="false" customHeight="false" outlineLevel="0" collapsed="false">
      <c r="A41" s="6" t="s">
        <v>242</v>
      </c>
      <c r="B41" s="6" t="s">
        <v>243</v>
      </c>
      <c r="C41" s="7" t="n">
        <v>11042</v>
      </c>
      <c r="D41" s="8" t="n">
        <f aca="false">IF(README!$B$9=0,"",C41/README!$B$9)</f>
        <v>0.888120324941688</v>
      </c>
      <c r="E41" s="6"/>
      <c r="F41" s="6"/>
    </row>
    <row r="42" customFormat="false" ht="15" hidden="false" customHeight="false" outlineLevel="0" collapsed="false">
      <c r="A42" s="6" t="s">
        <v>242</v>
      </c>
      <c r="B42" s="6" t="s">
        <v>769</v>
      </c>
      <c r="C42" s="7" t="n">
        <v>35</v>
      </c>
      <c r="D42" s="8" t="n">
        <f aca="false">IF(README!$B$9=0,"",C42/README!$B$9)</f>
        <v>0.00281508887637738</v>
      </c>
      <c r="E42" s="6"/>
      <c r="F42" s="6"/>
    </row>
    <row r="43" customFormat="false" ht="15" hidden="false" customHeight="false" outlineLevel="0" collapsed="false">
      <c r="A43" s="6" t="s">
        <v>242</v>
      </c>
      <c r="B43" s="6" t="s">
        <v>812</v>
      </c>
      <c r="C43" s="7" t="n">
        <v>15</v>
      </c>
      <c r="D43" s="8" t="n">
        <f aca="false">IF(README!$B$9=0,"",C43/README!$B$9)</f>
        <v>0.00120646666130459</v>
      </c>
      <c r="E43" s="6"/>
      <c r="F43" s="6"/>
    </row>
    <row r="44" customFormat="false" ht="15" hidden="false" customHeight="false" outlineLevel="0" collapsed="false">
      <c r="A44" s="6" t="s">
        <v>242</v>
      </c>
      <c r="B44" s="6" t="s">
        <v>813</v>
      </c>
      <c r="C44" s="7" t="n">
        <v>3</v>
      </c>
      <c r="D44" s="8" t="n">
        <f aca="false">IF(README!$B$9=0,"",C44/README!$B$9)</f>
        <v>0.000241293332260919</v>
      </c>
      <c r="E44" s="6"/>
      <c r="F44" s="6"/>
    </row>
    <row r="45" customFormat="false" ht="15" hidden="false" customHeight="false" outlineLevel="0" collapsed="false">
      <c r="A45" s="6" t="s">
        <v>242</v>
      </c>
      <c r="B45" s="6" t="s">
        <v>814</v>
      </c>
      <c r="C45" s="7" t="n">
        <v>347</v>
      </c>
      <c r="D45" s="8" t="n">
        <f aca="false">IF(README!$B$9=0,"",C45/README!$B$9)</f>
        <v>0.0279095954315129</v>
      </c>
      <c r="E45" s="6"/>
      <c r="F45" s="6"/>
    </row>
    <row r="46" customFormat="false" ht="15" hidden="false" customHeight="false" outlineLevel="0" collapsed="false">
      <c r="A46" s="6" t="s">
        <v>242</v>
      </c>
      <c r="B46" s="6" t="s">
        <v>815</v>
      </c>
      <c r="C46" s="7" t="n">
        <v>738</v>
      </c>
      <c r="D46" s="8" t="n">
        <f aca="false">IF(README!$B$9=0,"",C46/README!$B$9)</f>
        <v>0.059358159736186</v>
      </c>
      <c r="E46" s="6"/>
      <c r="F46" s="6"/>
    </row>
    <row r="47" customFormat="false" ht="15" hidden="false" customHeight="false" outlineLevel="0" collapsed="false">
      <c r="A47" s="6" t="s">
        <v>242</v>
      </c>
      <c r="B47" s="6" t="s">
        <v>816</v>
      </c>
      <c r="C47" s="7" t="n">
        <v>5</v>
      </c>
      <c r="D47" s="8" t="n">
        <f aca="false">IF(README!$B$9=0,"",C47/README!$B$9)</f>
        <v>0.000402155553768198</v>
      </c>
      <c r="E47" s="6"/>
      <c r="F47" s="6"/>
    </row>
    <row r="48" customFormat="false" ht="15" hidden="false" customHeight="false" outlineLevel="0" collapsed="false">
      <c r="A48" s="6" t="s">
        <v>242</v>
      </c>
      <c r="B48" s="6" t="s">
        <v>817</v>
      </c>
      <c r="C48" s="7" t="n">
        <v>6</v>
      </c>
      <c r="D48" s="8" t="n">
        <f aca="false">IF(README!$B$9=0,"",C48/README!$B$9)</f>
        <v>0.000482586664521837</v>
      </c>
      <c r="E48" s="6"/>
      <c r="F48" s="6"/>
    </row>
    <row r="49" customFormat="false" ht="15" hidden="false" customHeight="false" outlineLevel="0" collapsed="false">
      <c r="A49" s="6" t="s">
        <v>242</v>
      </c>
      <c r="B49" s="6" t="s">
        <v>255</v>
      </c>
      <c r="C49" s="7" t="n">
        <v>5</v>
      </c>
      <c r="D49" s="8" t="n">
        <f aca="false">IF(README!$B$9=0,"",C49/README!$B$9)</f>
        <v>0.000402155553768198</v>
      </c>
      <c r="E49" s="6"/>
      <c r="F49" s="6"/>
    </row>
    <row r="50" customFormat="false" ht="15" hidden="false" customHeight="false" outlineLevel="0" collapsed="false">
      <c r="A50" s="6" t="s">
        <v>242</v>
      </c>
      <c r="B50" s="6" t="s">
        <v>818</v>
      </c>
      <c r="C50" s="7" t="n">
        <v>141</v>
      </c>
      <c r="D50" s="8" t="n">
        <f aca="false">IF(README!$B$9=0,"",C50/README!$B$9)</f>
        <v>0.0113407866162632</v>
      </c>
      <c r="E50" s="6"/>
      <c r="F50" s="6"/>
    </row>
    <row r="51" customFormat="false" ht="15" hidden="false" customHeight="false" outlineLevel="0" collapsed="false">
      <c r="A51" s="6" t="s">
        <v>242</v>
      </c>
      <c r="B51" s="6" t="s">
        <v>819</v>
      </c>
      <c r="C51" s="7" t="n">
        <v>6</v>
      </c>
      <c r="D51" s="8" t="n">
        <f aca="false">IF(README!$B$9=0,"",C51/README!$B$9)</f>
        <v>0.000482586664521837</v>
      </c>
      <c r="E51" s="6"/>
      <c r="F51" s="6"/>
    </row>
    <row r="52" customFormat="false" ht="15" hidden="false" customHeight="false" outlineLevel="0" collapsed="false">
      <c r="A52" s="6" t="s">
        <v>242</v>
      </c>
      <c r="B52" s="6" t="s">
        <v>820</v>
      </c>
      <c r="C52" s="7" t="n">
        <v>53</v>
      </c>
      <c r="D52" s="8" t="n">
        <f aca="false">IF(README!$B$9=0,"",C52/README!$B$9)</f>
        <v>0.00426284886994289</v>
      </c>
      <c r="E52" s="6"/>
      <c r="F52" s="6"/>
    </row>
    <row r="53" customFormat="false" ht="15" hidden="false" customHeight="false" outlineLevel="0" collapsed="false">
      <c r="A53" s="6" t="s">
        <v>242</v>
      </c>
      <c r="B53" s="6" t="s">
        <v>353</v>
      </c>
      <c r="C53" s="7" t="n">
        <v>20</v>
      </c>
      <c r="D53" s="8" t="n">
        <f aca="false">IF(README!$B$9=0,"",C53/README!$B$9)</f>
        <v>0.00160862221507279</v>
      </c>
      <c r="E53" s="6"/>
      <c r="F53" s="6"/>
    </row>
    <row r="54" customFormat="false" ht="15" hidden="false" customHeight="false" outlineLevel="0" collapsed="false">
      <c r="A54" s="6" t="s">
        <v>242</v>
      </c>
      <c r="B54" s="6" t="s">
        <v>821</v>
      </c>
      <c r="C54" s="7" t="n">
        <v>3</v>
      </c>
      <c r="D54" s="8" t="n">
        <f aca="false">IF(README!$B$9=0,"",C54/README!$B$9)</f>
        <v>0.000241293332260919</v>
      </c>
      <c r="E54" s="6"/>
      <c r="F54" s="6"/>
    </row>
    <row r="55" customFormat="false" ht="15" hidden="false" customHeight="false" outlineLevel="0" collapsed="false">
      <c r="A55" s="6" t="s">
        <v>242</v>
      </c>
      <c r="B55" s="6" t="s">
        <v>822</v>
      </c>
      <c r="C55" s="7" t="n">
        <v>14</v>
      </c>
      <c r="D55" s="8" t="n">
        <f aca="false">IF(README!$B$9=0,"",C55/README!$B$9)</f>
        <v>0.00112603555055095</v>
      </c>
      <c r="E55" s="6"/>
      <c r="F55" s="6"/>
    </row>
    <row r="56" customFormat="false" ht="15" hidden="false" customHeight="false" outlineLevel="0" collapsed="false">
      <c r="A56" s="6" t="s">
        <v>249</v>
      </c>
      <c r="B56" s="6" t="s">
        <v>767</v>
      </c>
      <c r="C56" s="7" t="n">
        <v>1</v>
      </c>
      <c r="D56" s="8" t="n">
        <f aca="false">IF(README!$B$9=0,"",C56/README!$B$9)</f>
        <v>8.04311107536395E-005</v>
      </c>
      <c r="E56" s="6"/>
      <c r="F56" s="6"/>
    </row>
    <row r="57" customFormat="false" ht="15" hidden="false" customHeight="false" outlineLevel="0" collapsed="false">
      <c r="A57" s="6" t="s">
        <v>249</v>
      </c>
      <c r="B57" s="6" t="s">
        <v>243</v>
      </c>
      <c r="C57" s="7" t="n">
        <v>12166</v>
      </c>
      <c r="D57" s="8" t="n">
        <f aca="false">IF(README!$B$9=0,"",C57/README!$B$9)</f>
        <v>0.978524893428778</v>
      </c>
      <c r="E57" s="6"/>
      <c r="F57" s="6"/>
    </row>
    <row r="58" customFormat="false" ht="15" hidden="false" customHeight="false" outlineLevel="0" collapsed="false">
      <c r="A58" s="6" t="s">
        <v>249</v>
      </c>
      <c r="B58" s="6" t="s">
        <v>769</v>
      </c>
      <c r="C58" s="7" t="n">
        <v>108</v>
      </c>
      <c r="D58" s="8" t="n">
        <f aca="false">IF(README!$B$9=0,"",C58/README!$B$9)</f>
        <v>0.00868655996139307</v>
      </c>
      <c r="E58" s="6"/>
      <c r="F58" s="6"/>
    </row>
    <row r="59" customFormat="false" ht="15" hidden="false" customHeight="false" outlineLevel="0" collapsed="false">
      <c r="A59" s="6" t="s">
        <v>249</v>
      </c>
      <c r="B59" s="6" t="s">
        <v>813</v>
      </c>
      <c r="C59" s="7" t="n">
        <v>2</v>
      </c>
      <c r="D59" s="8" t="n">
        <f aca="false">IF(README!$B$9=0,"",C59/README!$B$9)</f>
        <v>0.000160862221507279</v>
      </c>
      <c r="E59" s="6"/>
      <c r="F59" s="6"/>
    </row>
    <row r="60" customFormat="false" ht="15" hidden="false" customHeight="false" outlineLevel="0" collapsed="false">
      <c r="A60" s="6" t="s">
        <v>249</v>
      </c>
      <c r="B60" s="6" t="s">
        <v>814</v>
      </c>
      <c r="C60" s="7" t="n">
        <v>53</v>
      </c>
      <c r="D60" s="8" t="n">
        <f aca="false">IF(README!$B$9=0,"",C60/README!$B$9)</f>
        <v>0.00426284886994289</v>
      </c>
      <c r="E60" s="6"/>
      <c r="F60" s="6"/>
    </row>
    <row r="61" customFormat="false" ht="15" hidden="false" customHeight="false" outlineLevel="0" collapsed="false">
      <c r="A61" s="6" t="s">
        <v>249</v>
      </c>
      <c r="B61" s="6" t="s">
        <v>815</v>
      </c>
      <c r="C61" s="7" t="n">
        <v>37</v>
      </c>
      <c r="D61" s="8" t="n">
        <f aca="false">IF(README!$B$9=0,"",C61/README!$B$9)</f>
        <v>0.00297595109788466</v>
      </c>
      <c r="E61" s="6"/>
      <c r="F61" s="6"/>
    </row>
    <row r="62" customFormat="false" ht="15" hidden="false" customHeight="false" outlineLevel="0" collapsed="false">
      <c r="A62" s="6" t="s">
        <v>249</v>
      </c>
      <c r="B62" s="6" t="s">
        <v>818</v>
      </c>
      <c r="C62" s="7" t="n">
        <v>60</v>
      </c>
      <c r="D62" s="8" t="n">
        <f aca="false">IF(README!$B$9=0,"",C62/README!$B$9)</f>
        <v>0.00482586664521837</v>
      </c>
      <c r="E62" s="6"/>
      <c r="F62" s="6"/>
    </row>
    <row r="63" customFormat="false" ht="15" hidden="false" customHeight="false" outlineLevel="0" collapsed="false">
      <c r="A63" s="6" t="s">
        <v>249</v>
      </c>
      <c r="B63" s="6" t="s">
        <v>353</v>
      </c>
      <c r="C63" s="7" t="n">
        <v>6</v>
      </c>
      <c r="D63" s="8" t="n">
        <f aca="false">IF(README!$B$9=0,"",C63/README!$B$9)</f>
        <v>0.000482586664521837</v>
      </c>
      <c r="E63" s="6"/>
      <c r="F63" s="6"/>
    </row>
    <row r="64" customFormat="false" ht="15" hidden="false" customHeight="false" outlineLevel="0" collapsed="false">
      <c r="A64" s="6" t="s">
        <v>823</v>
      </c>
      <c r="B64" s="6" t="s">
        <v>824</v>
      </c>
      <c r="C64" s="7" t="n">
        <v>12433</v>
      </c>
      <c r="D64" s="8" t="n">
        <f aca="false">IF(README!$B$9=0,"",C64/README!$B$9)</f>
        <v>1</v>
      </c>
      <c r="E64" s="6" t="s">
        <v>825</v>
      </c>
      <c r="F64" s="6" t="s">
        <v>103</v>
      </c>
    </row>
    <row r="65" customFormat="false" ht="15" hidden="false" customHeight="false" outlineLevel="0" collapsed="false">
      <c r="A65" s="6" t="s">
        <v>823</v>
      </c>
      <c r="B65" s="6" t="s">
        <v>826</v>
      </c>
      <c r="C65" s="7" t="n">
        <v>12433</v>
      </c>
      <c r="D65" s="8" t="n">
        <f aca="false">IF(README!$B$9=0,"",C65/README!$B$9)</f>
        <v>1</v>
      </c>
      <c r="E65" s="6" t="s">
        <v>827</v>
      </c>
      <c r="F65" s="6" t="s">
        <v>103</v>
      </c>
    </row>
    <row r="66" customFormat="false" ht="15" hidden="false" customHeight="false" outlineLevel="0" collapsed="false">
      <c r="A66" s="6" t="s">
        <v>823</v>
      </c>
      <c r="B66" s="6" t="s">
        <v>828</v>
      </c>
      <c r="C66" s="7" t="n">
        <v>12433</v>
      </c>
      <c r="D66" s="8" t="n">
        <f aca="false">IF(README!$B$9=0,"",C66/README!$B$9)</f>
        <v>1</v>
      </c>
      <c r="E66" s="6" t="s">
        <v>829</v>
      </c>
      <c r="F66" s="6" t="s">
        <v>103</v>
      </c>
    </row>
    <row r="67" customFormat="false" ht="15" hidden="false" customHeight="false" outlineLevel="0" collapsed="false">
      <c r="A67" s="6" t="s">
        <v>823</v>
      </c>
      <c r="B67" s="6" t="s">
        <v>830</v>
      </c>
      <c r="C67" s="7" t="n">
        <v>12433</v>
      </c>
      <c r="D67" s="8" t="n">
        <f aca="false">IF(README!$B$9=0,"",C67/README!$B$9)</f>
        <v>1</v>
      </c>
      <c r="E67" s="6" t="s">
        <v>831</v>
      </c>
      <c r="F67" s="6" t="s">
        <v>103</v>
      </c>
    </row>
    <row r="68" customFormat="false" ht="23.85" hidden="false" customHeight="false" outlineLevel="0" collapsed="false">
      <c r="A68" s="6" t="s">
        <v>823</v>
      </c>
      <c r="B68" s="6" t="s">
        <v>832</v>
      </c>
      <c r="C68" s="7" t="n">
        <v>5423</v>
      </c>
      <c r="D68" s="8" t="n">
        <f aca="false">IF(README!$B$9=0,"",C68/README!$B$9)</f>
        <v>0.436177913616987</v>
      </c>
      <c r="E68" s="6" t="s">
        <v>833</v>
      </c>
      <c r="F68" s="6" t="s">
        <v>103</v>
      </c>
    </row>
  </sheetData>
  <autoFilter ref="A1:F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11"/>
  </cols>
  <sheetData>
    <row r="1" customFormat="false" ht="30" hidden="false" customHeight="true" outlineLevel="0" collapsed="false">
      <c r="A1" s="11" t="s">
        <v>198</v>
      </c>
      <c r="B1" s="11" t="s">
        <v>192</v>
      </c>
      <c r="C1" s="11" t="s">
        <v>209</v>
      </c>
      <c r="D1" s="11" t="s">
        <v>203</v>
      </c>
      <c r="E1" s="11" t="s">
        <v>15</v>
      </c>
    </row>
    <row r="2" customFormat="false" ht="15" hidden="false" customHeight="false" outlineLevel="0" collapsed="false">
      <c r="A2" s="3" t="n">
        <v>1</v>
      </c>
      <c r="B2" s="3"/>
      <c r="C2" s="3" t="n">
        <v>999</v>
      </c>
      <c r="D2" s="6" t="s">
        <v>834</v>
      </c>
      <c r="E2" s="7" t="n">
        <v>17</v>
      </c>
    </row>
    <row r="3" customFormat="false" ht="15" hidden="false" customHeight="false" outlineLevel="0" collapsed="false">
      <c r="A3" s="3" t="n">
        <v>3</v>
      </c>
      <c r="B3" s="6" t="s">
        <v>835</v>
      </c>
      <c r="C3" s="3" t="n">
        <v>3002</v>
      </c>
      <c r="D3" s="6" t="s">
        <v>836</v>
      </c>
      <c r="E3" s="7" t="n">
        <v>33</v>
      </c>
    </row>
    <row r="4" customFormat="false" ht="15" hidden="false" customHeight="false" outlineLevel="0" collapsed="false">
      <c r="A4" s="3" t="n">
        <v>3</v>
      </c>
      <c r="B4" s="6" t="s">
        <v>835</v>
      </c>
      <c r="C4" s="3" t="n">
        <v>3010</v>
      </c>
      <c r="D4" s="6" t="s">
        <v>837</v>
      </c>
      <c r="E4" s="7" t="n">
        <v>55</v>
      </c>
    </row>
    <row r="5" customFormat="false" ht="15" hidden="false" customHeight="false" outlineLevel="0" collapsed="false">
      <c r="A5" s="3" t="n">
        <v>5</v>
      </c>
      <c r="B5" s="6" t="s">
        <v>838</v>
      </c>
      <c r="C5" s="3" t="n">
        <v>5010</v>
      </c>
      <c r="D5" s="6" t="s">
        <v>839</v>
      </c>
      <c r="E5" s="7" t="n">
        <v>6</v>
      </c>
    </row>
    <row r="6" customFormat="false" ht="15" hidden="false" customHeight="false" outlineLevel="0" collapsed="false">
      <c r="A6" s="3" t="n">
        <v>5</v>
      </c>
      <c r="B6" s="6" t="s">
        <v>838</v>
      </c>
      <c r="C6" s="3" t="n">
        <v>5040</v>
      </c>
      <c r="D6" s="6" t="s">
        <v>840</v>
      </c>
      <c r="E6" s="7" t="n">
        <v>55</v>
      </c>
    </row>
    <row r="7" customFormat="false" ht="15" hidden="false" customHeight="false" outlineLevel="0" collapsed="false">
      <c r="A7" s="3" t="n">
        <v>10</v>
      </c>
      <c r="B7" s="6" t="s">
        <v>841</v>
      </c>
      <c r="C7" s="3" t="n">
        <v>10010</v>
      </c>
      <c r="D7" s="6" t="s">
        <v>842</v>
      </c>
      <c r="E7" s="7" t="n">
        <v>6</v>
      </c>
    </row>
    <row r="8" customFormat="false" ht="15" hidden="false" customHeight="false" outlineLevel="0" collapsed="false">
      <c r="A8" s="3" t="n">
        <v>10</v>
      </c>
      <c r="B8" s="6" t="s">
        <v>841</v>
      </c>
      <c r="C8" s="3" t="n">
        <v>10020</v>
      </c>
      <c r="D8" s="6" t="s">
        <v>843</v>
      </c>
      <c r="E8" s="7" t="n">
        <v>50</v>
      </c>
    </row>
    <row r="9" customFormat="false" ht="15" hidden="false" customHeight="false" outlineLevel="0" collapsed="false">
      <c r="A9" s="3" t="n">
        <v>10</v>
      </c>
      <c r="B9" s="6" t="s">
        <v>841</v>
      </c>
      <c r="C9" s="3" t="n">
        <v>10030</v>
      </c>
      <c r="D9" s="6" t="s">
        <v>844</v>
      </c>
      <c r="E9" s="7" t="n">
        <v>59</v>
      </c>
    </row>
    <row r="10" customFormat="false" ht="15" hidden="false" customHeight="false" outlineLevel="0" collapsed="false">
      <c r="A10" s="3" t="n">
        <v>10</v>
      </c>
      <c r="B10" s="6" t="s">
        <v>841</v>
      </c>
      <c r="C10" s="3" t="n">
        <v>10040</v>
      </c>
      <c r="D10" s="6" t="s">
        <v>845</v>
      </c>
      <c r="E10" s="7" t="n">
        <v>14</v>
      </c>
    </row>
    <row r="11" customFormat="false" ht="15" hidden="false" customHeight="false" outlineLevel="0" collapsed="false">
      <c r="A11" s="3" t="n">
        <v>10</v>
      </c>
      <c r="B11" s="6" t="s">
        <v>841</v>
      </c>
      <c r="C11" s="3" t="n">
        <v>10050</v>
      </c>
      <c r="D11" s="6" t="s">
        <v>846</v>
      </c>
      <c r="E11" s="7" t="n">
        <v>102</v>
      </c>
    </row>
    <row r="12" customFormat="false" ht="15" hidden="false" customHeight="false" outlineLevel="0" collapsed="false">
      <c r="A12" s="3" t="n">
        <v>10</v>
      </c>
      <c r="B12" s="6" t="s">
        <v>841</v>
      </c>
      <c r="C12" s="3" t="n">
        <v>10060</v>
      </c>
      <c r="D12" s="6" t="s">
        <v>847</v>
      </c>
      <c r="E12" s="7" t="n">
        <v>35</v>
      </c>
    </row>
    <row r="13" customFormat="false" ht="15" hidden="false" customHeight="false" outlineLevel="0" collapsed="false">
      <c r="A13" s="3" t="n">
        <v>10</v>
      </c>
      <c r="B13" s="6" t="s">
        <v>841</v>
      </c>
      <c r="C13" s="3" t="n">
        <v>10070</v>
      </c>
      <c r="D13" s="6" t="s">
        <v>848</v>
      </c>
      <c r="E13" s="7" t="n">
        <v>6</v>
      </c>
    </row>
    <row r="14" customFormat="false" ht="15" hidden="false" customHeight="false" outlineLevel="0" collapsed="false">
      <c r="A14" s="3" t="n">
        <v>10</v>
      </c>
      <c r="B14" s="6" t="s">
        <v>841</v>
      </c>
      <c r="C14" s="3" t="n">
        <v>10080</v>
      </c>
      <c r="D14" s="6" t="s">
        <v>849</v>
      </c>
      <c r="E14" s="7" t="n">
        <v>25</v>
      </c>
    </row>
    <row r="15" customFormat="false" ht="15" hidden="false" customHeight="false" outlineLevel="0" collapsed="false">
      <c r="A15" s="3" t="n">
        <v>10</v>
      </c>
      <c r="B15" s="6" t="s">
        <v>841</v>
      </c>
      <c r="C15" s="3" t="n">
        <v>10090</v>
      </c>
      <c r="D15" s="6" t="s">
        <v>850</v>
      </c>
      <c r="E15" s="7" t="n">
        <v>113</v>
      </c>
    </row>
    <row r="16" customFormat="false" ht="15" hidden="false" customHeight="false" outlineLevel="0" collapsed="false">
      <c r="A16" s="3" t="n">
        <v>10</v>
      </c>
      <c r="B16" s="6" t="s">
        <v>841</v>
      </c>
      <c r="C16" s="3" t="n">
        <v>10100</v>
      </c>
      <c r="D16" s="6" t="s">
        <v>851</v>
      </c>
      <c r="E16" s="7" t="n">
        <v>35</v>
      </c>
    </row>
    <row r="17" customFormat="false" ht="15" hidden="false" customHeight="false" outlineLevel="0" collapsed="false">
      <c r="A17" s="3" t="n">
        <v>10</v>
      </c>
      <c r="B17" s="6" t="s">
        <v>841</v>
      </c>
      <c r="C17" s="3" t="n">
        <v>10115</v>
      </c>
      <c r="D17" s="6" t="s">
        <v>852</v>
      </c>
      <c r="E17" s="7" t="n">
        <v>2</v>
      </c>
    </row>
    <row r="18" customFormat="false" ht="15" hidden="false" customHeight="false" outlineLevel="0" collapsed="false">
      <c r="A18" s="3" t="n">
        <v>20</v>
      </c>
      <c r="B18" s="6" t="s">
        <v>853</v>
      </c>
      <c r="C18" s="3" t="n">
        <v>20010</v>
      </c>
      <c r="D18" s="6" t="s">
        <v>854</v>
      </c>
      <c r="E18" s="7" t="n">
        <v>33</v>
      </c>
    </row>
    <row r="19" customFormat="false" ht="15" hidden="false" customHeight="false" outlineLevel="0" collapsed="false">
      <c r="A19" s="3" t="n">
        <v>20</v>
      </c>
      <c r="B19" s="6" t="s">
        <v>853</v>
      </c>
      <c r="C19" s="3" t="n">
        <v>20020</v>
      </c>
      <c r="D19" s="6" t="s">
        <v>855</v>
      </c>
      <c r="E19" s="7" t="n">
        <v>8</v>
      </c>
    </row>
    <row r="20" customFormat="false" ht="15" hidden="false" customHeight="false" outlineLevel="0" collapsed="false">
      <c r="A20" s="3" t="n">
        <v>20</v>
      </c>
      <c r="B20" s="6" t="s">
        <v>853</v>
      </c>
      <c r="C20" s="3" t="n">
        <v>20025</v>
      </c>
      <c r="D20" s="6" t="s">
        <v>856</v>
      </c>
      <c r="E20" s="7" t="n">
        <v>34</v>
      </c>
    </row>
    <row r="21" customFormat="false" ht="15" hidden="false" customHeight="false" outlineLevel="0" collapsed="false">
      <c r="A21" s="3" t="n">
        <v>20</v>
      </c>
      <c r="B21" s="6" t="s">
        <v>853</v>
      </c>
      <c r="C21" s="3" t="n">
        <v>20030</v>
      </c>
      <c r="D21" s="6" t="s">
        <v>857</v>
      </c>
      <c r="E21" s="7" t="n">
        <v>15</v>
      </c>
    </row>
    <row r="22" customFormat="false" ht="15" hidden="false" customHeight="false" outlineLevel="0" collapsed="false">
      <c r="A22" s="3" t="n">
        <v>20</v>
      </c>
      <c r="B22" s="6" t="s">
        <v>853</v>
      </c>
      <c r="C22" s="3" t="n">
        <v>20040</v>
      </c>
      <c r="D22" s="6" t="s">
        <v>858</v>
      </c>
      <c r="E22" s="7" t="n">
        <v>19</v>
      </c>
    </row>
    <row r="23" customFormat="false" ht="15" hidden="false" customHeight="false" outlineLevel="0" collapsed="false">
      <c r="A23" s="3" t="n">
        <v>20</v>
      </c>
      <c r="B23" s="6" t="s">
        <v>853</v>
      </c>
      <c r="C23" s="3" t="n">
        <v>20050</v>
      </c>
      <c r="D23" s="6" t="s">
        <v>851</v>
      </c>
      <c r="E23" s="7" t="n">
        <v>6</v>
      </c>
    </row>
    <row r="24" customFormat="false" ht="15" hidden="false" customHeight="false" outlineLevel="0" collapsed="false">
      <c r="A24" s="3" t="n">
        <v>20</v>
      </c>
      <c r="B24" s="6" t="s">
        <v>853</v>
      </c>
      <c r="C24" s="3" t="n">
        <v>20070</v>
      </c>
      <c r="D24" s="6" t="s">
        <v>859</v>
      </c>
      <c r="E24" s="7" t="n">
        <v>3</v>
      </c>
    </row>
    <row r="25" customFormat="false" ht="15" hidden="false" customHeight="false" outlineLevel="0" collapsed="false">
      <c r="A25" s="3" t="n">
        <v>30</v>
      </c>
      <c r="B25" s="6" t="s">
        <v>860</v>
      </c>
      <c r="C25" s="3" t="n">
        <v>30010</v>
      </c>
      <c r="D25" s="6" t="s">
        <v>861</v>
      </c>
      <c r="E25" s="7" t="n">
        <v>49</v>
      </c>
    </row>
    <row r="26" customFormat="false" ht="15" hidden="false" customHeight="false" outlineLevel="0" collapsed="false">
      <c r="A26" s="3" t="n">
        <v>30</v>
      </c>
      <c r="B26" s="6" t="s">
        <v>860</v>
      </c>
      <c r="C26" s="3" t="n">
        <v>30020</v>
      </c>
      <c r="D26" s="6" t="s">
        <v>862</v>
      </c>
      <c r="E26" s="7" t="n">
        <v>35</v>
      </c>
    </row>
    <row r="27" customFormat="false" ht="15" hidden="false" customHeight="false" outlineLevel="0" collapsed="false">
      <c r="A27" s="3" t="n">
        <v>30</v>
      </c>
      <c r="B27" s="6" t="s">
        <v>860</v>
      </c>
      <c r="C27" s="3" t="n">
        <v>30030</v>
      </c>
      <c r="D27" s="6" t="s">
        <v>863</v>
      </c>
      <c r="E27" s="7" t="n">
        <v>67</v>
      </c>
    </row>
    <row r="28" customFormat="false" ht="15" hidden="false" customHeight="false" outlineLevel="0" collapsed="false">
      <c r="A28" s="3" t="n">
        <v>30</v>
      </c>
      <c r="B28" s="6" t="s">
        <v>860</v>
      </c>
      <c r="C28" s="3" t="n">
        <v>30040</v>
      </c>
      <c r="D28" s="6" t="s">
        <v>864</v>
      </c>
      <c r="E28" s="7" t="n">
        <v>10</v>
      </c>
    </row>
    <row r="29" customFormat="false" ht="15" hidden="false" customHeight="false" outlineLevel="0" collapsed="false">
      <c r="A29" s="3" t="n">
        <v>30</v>
      </c>
      <c r="B29" s="6" t="s">
        <v>860</v>
      </c>
      <c r="C29" s="3" t="n">
        <v>30050</v>
      </c>
      <c r="D29" s="6" t="s">
        <v>865</v>
      </c>
      <c r="E29" s="7" t="n">
        <v>344</v>
      </c>
    </row>
    <row r="30" customFormat="false" ht="15" hidden="false" customHeight="false" outlineLevel="0" collapsed="false">
      <c r="A30" s="3" t="n">
        <v>30</v>
      </c>
      <c r="B30" s="6" t="s">
        <v>860</v>
      </c>
      <c r="C30" s="3" t="n">
        <v>30060</v>
      </c>
      <c r="D30" s="6" t="s">
        <v>866</v>
      </c>
      <c r="E30" s="7" t="n">
        <v>75</v>
      </c>
    </row>
    <row r="31" customFormat="false" ht="15" hidden="false" customHeight="false" outlineLevel="0" collapsed="false">
      <c r="A31" s="3" t="n">
        <v>30</v>
      </c>
      <c r="B31" s="6" t="s">
        <v>860</v>
      </c>
      <c r="C31" s="3" t="n">
        <v>30070</v>
      </c>
      <c r="D31" s="6" t="s">
        <v>867</v>
      </c>
      <c r="E31" s="7" t="n">
        <v>64</v>
      </c>
    </row>
    <row r="32" customFormat="false" ht="15" hidden="false" customHeight="false" outlineLevel="0" collapsed="false">
      <c r="A32" s="3" t="n">
        <v>30</v>
      </c>
      <c r="B32" s="6" t="s">
        <v>860</v>
      </c>
      <c r="C32" s="3" t="n">
        <v>30080</v>
      </c>
      <c r="D32" s="6" t="s">
        <v>868</v>
      </c>
      <c r="E32" s="7" t="n">
        <v>45</v>
      </c>
    </row>
    <row r="33" customFormat="false" ht="15" hidden="false" customHeight="false" outlineLevel="0" collapsed="false">
      <c r="A33" s="3" t="n">
        <v>30</v>
      </c>
      <c r="B33" s="6" t="s">
        <v>860</v>
      </c>
      <c r="C33" s="3" t="n">
        <v>30090</v>
      </c>
      <c r="D33" s="6" t="s">
        <v>869</v>
      </c>
      <c r="E33" s="7" t="n">
        <v>83</v>
      </c>
    </row>
    <row r="34" customFormat="false" ht="15" hidden="false" customHeight="false" outlineLevel="0" collapsed="false">
      <c r="A34" s="3" t="n">
        <v>30</v>
      </c>
      <c r="B34" s="6" t="s">
        <v>860</v>
      </c>
      <c r="C34" s="3" t="n">
        <v>30100</v>
      </c>
      <c r="D34" s="6" t="s">
        <v>870</v>
      </c>
      <c r="E34" s="7" t="n">
        <v>174</v>
      </c>
    </row>
    <row r="35" customFormat="false" ht="15" hidden="false" customHeight="false" outlineLevel="0" collapsed="false">
      <c r="A35" s="3" t="n">
        <v>40</v>
      </c>
      <c r="B35" s="6" t="s">
        <v>871</v>
      </c>
      <c r="C35" s="3" t="n">
        <v>40010</v>
      </c>
      <c r="D35" s="6" t="s">
        <v>847</v>
      </c>
      <c r="E35" s="7" t="n">
        <v>170</v>
      </c>
    </row>
    <row r="36" customFormat="false" ht="15" hidden="false" customHeight="false" outlineLevel="0" collapsed="false">
      <c r="A36" s="3" t="n">
        <v>40</v>
      </c>
      <c r="B36" s="6" t="s">
        <v>871</v>
      </c>
      <c r="C36" s="3" t="n">
        <v>40020</v>
      </c>
      <c r="D36" s="6" t="s">
        <v>872</v>
      </c>
      <c r="E36" s="7" t="n">
        <v>233</v>
      </c>
    </row>
    <row r="37" customFormat="false" ht="15" hidden="false" customHeight="false" outlineLevel="0" collapsed="false">
      <c r="A37" s="3" t="n">
        <v>40</v>
      </c>
      <c r="B37" s="6" t="s">
        <v>871</v>
      </c>
      <c r="C37" s="3" t="n">
        <v>40025</v>
      </c>
      <c r="D37" s="6" t="s">
        <v>873</v>
      </c>
      <c r="E37" s="7" t="n">
        <v>271</v>
      </c>
    </row>
    <row r="38" customFormat="false" ht="15" hidden="false" customHeight="false" outlineLevel="0" collapsed="false">
      <c r="A38" s="3" t="n">
        <v>40</v>
      </c>
      <c r="B38" s="6" t="s">
        <v>871</v>
      </c>
      <c r="C38" s="3" t="n">
        <v>40030</v>
      </c>
      <c r="D38" s="6" t="s">
        <v>874</v>
      </c>
      <c r="E38" s="7" t="n">
        <v>139</v>
      </c>
    </row>
    <row r="39" customFormat="false" ht="15" hidden="false" customHeight="false" outlineLevel="0" collapsed="false">
      <c r="A39" s="3" t="n">
        <v>40</v>
      </c>
      <c r="B39" s="6" t="s">
        <v>871</v>
      </c>
      <c r="C39" s="3" t="n">
        <v>40040</v>
      </c>
      <c r="D39" s="6" t="s">
        <v>875</v>
      </c>
      <c r="E39" s="7" t="n">
        <v>165</v>
      </c>
    </row>
    <row r="40" customFormat="false" ht="15" hidden="false" customHeight="false" outlineLevel="0" collapsed="false">
      <c r="A40" s="3" t="n">
        <v>40</v>
      </c>
      <c r="B40" s="6" t="s">
        <v>871</v>
      </c>
      <c r="C40" s="3" t="n">
        <v>40045</v>
      </c>
      <c r="D40" s="6" t="s">
        <v>876</v>
      </c>
      <c r="E40" s="7" t="n">
        <v>210</v>
      </c>
    </row>
    <row r="41" customFormat="false" ht="15" hidden="false" customHeight="false" outlineLevel="0" collapsed="false">
      <c r="A41" s="3" t="n">
        <v>40</v>
      </c>
      <c r="B41" s="6" t="s">
        <v>871</v>
      </c>
      <c r="C41" s="3" t="n">
        <v>40050</v>
      </c>
      <c r="D41" s="6" t="s">
        <v>851</v>
      </c>
      <c r="E41" s="7" t="n">
        <v>171</v>
      </c>
    </row>
    <row r="42" customFormat="false" ht="15" hidden="false" customHeight="false" outlineLevel="0" collapsed="false">
      <c r="A42" s="3" t="n">
        <v>40</v>
      </c>
      <c r="B42" s="6" t="s">
        <v>871</v>
      </c>
      <c r="C42" s="3" t="n">
        <v>40060</v>
      </c>
      <c r="D42" s="6" t="s">
        <v>877</v>
      </c>
      <c r="E42" s="7" t="n">
        <v>190</v>
      </c>
    </row>
    <row r="43" customFormat="false" ht="15" hidden="false" customHeight="false" outlineLevel="0" collapsed="false">
      <c r="A43" s="3" t="n">
        <v>40</v>
      </c>
      <c r="B43" s="6" t="s">
        <v>871</v>
      </c>
      <c r="C43" s="3" t="n">
        <v>40065</v>
      </c>
      <c r="D43" s="6" t="s">
        <v>878</v>
      </c>
      <c r="E43" s="7" t="n">
        <v>31</v>
      </c>
    </row>
    <row r="44" customFormat="false" ht="15" hidden="false" customHeight="false" outlineLevel="0" collapsed="false">
      <c r="A44" s="3" t="n">
        <v>40</v>
      </c>
      <c r="B44" s="6" t="s">
        <v>871</v>
      </c>
      <c r="C44" s="3" t="n">
        <v>40080</v>
      </c>
      <c r="D44" s="6" t="s">
        <v>879</v>
      </c>
      <c r="E44" s="7" t="n">
        <v>150</v>
      </c>
    </row>
    <row r="45" customFormat="false" ht="15" hidden="false" customHeight="false" outlineLevel="0" collapsed="false">
      <c r="A45" s="3" t="n">
        <v>50</v>
      </c>
      <c r="B45" s="6" t="s">
        <v>880</v>
      </c>
      <c r="C45" s="3" t="n">
        <v>50010</v>
      </c>
      <c r="D45" s="6" t="s">
        <v>881</v>
      </c>
      <c r="E45" s="7" t="n">
        <v>32</v>
      </c>
    </row>
    <row r="46" customFormat="false" ht="15" hidden="false" customHeight="false" outlineLevel="0" collapsed="false">
      <c r="A46" s="3" t="n">
        <v>50</v>
      </c>
      <c r="B46" s="6" t="s">
        <v>880</v>
      </c>
      <c r="C46" s="3" t="n">
        <v>50020</v>
      </c>
      <c r="D46" s="6" t="s">
        <v>882</v>
      </c>
      <c r="E46" s="7" t="n">
        <v>2</v>
      </c>
    </row>
    <row r="47" customFormat="false" ht="15" hidden="false" customHeight="false" outlineLevel="0" collapsed="false">
      <c r="A47" s="3" t="n">
        <v>50</v>
      </c>
      <c r="B47" s="6" t="s">
        <v>880</v>
      </c>
      <c r="C47" s="3" t="n">
        <v>50030</v>
      </c>
      <c r="D47" s="6" t="s">
        <v>883</v>
      </c>
      <c r="E47" s="7" t="n">
        <v>102</v>
      </c>
    </row>
    <row r="48" customFormat="false" ht="15" hidden="false" customHeight="false" outlineLevel="0" collapsed="false">
      <c r="A48" s="3" t="n">
        <v>50</v>
      </c>
      <c r="B48" s="6" t="s">
        <v>880</v>
      </c>
      <c r="C48" s="3" t="n">
        <v>50035</v>
      </c>
      <c r="D48" s="6" t="s">
        <v>884</v>
      </c>
      <c r="E48" s="7" t="n">
        <v>276</v>
      </c>
    </row>
    <row r="49" customFormat="false" ht="15" hidden="false" customHeight="false" outlineLevel="0" collapsed="false">
      <c r="A49" s="3" t="n">
        <v>50</v>
      </c>
      <c r="B49" s="6" t="s">
        <v>880</v>
      </c>
      <c r="C49" s="3" t="n">
        <v>50040</v>
      </c>
      <c r="D49" s="6" t="s">
        <v>885</v>
      </c>
      <c r="E49" s="7" t="n">
        <v>2</v>
      </c>
    </row>
    <row r="50" customFormat="false" ht="15" hidden="false" customHeight="false" outlineLevel="0" collapsed="false">
      <c r="A50" s="3" t="n">
        <v>50</v>
      </c>
      <c r="B50" s="6" t="s">
        <v>880</v>
      </c>
      <c r="C50" s="3" t="n">
        <v>50050</v>
      </c>
      <c r="D50" s="6" t="s">
        <v>886</v>
      </c>
      <c r="E50" s="7" t="n">
        <v>46</v>
      </c>
    </row>
    <row r="51" customFormat="false" ht="15" hidden="false" customHeight="false" outlineLevel="0" collapsed="false">
      <c r="A51" s="3" t="n">
        <v>50</v>
      </c>
      <c r="B51" s="6" t="s">
        <v>880</v>
      </c>
      <c r="C51" s="3" t="n">
        <v>50060</v>
      </c>
      <c r="D51" s="6" t="s">
        <v>887</v>
      </c>
      <c r="E51" s="7" t="n">
        <v>36</v>
      </c>
    </row>
    <row r="52" customFormat="false" ht="15" hidden="false" customHeight="false" outlineLevel="0" collapsed="false">
      <c r="A52" s="3" t="n">
        <v>50</v>
      </c>
      <c r="B52" s="6" t="s">
        <v>880</v>
      </c>
      <c r="C52" s="3" t="n">
        <v>50070</v>
      </c>
      <c r="D52" s="6" t="s">
        <v>888</v>
      </c>
      <c r="E52" s="7" t="n">
        <v>27</v>
      </c>
    </row>
    <row r="53" customFormat="false" ht="15" hidden="false" customHeight="false" outlineLevel="0" collapsed="false">
      <c r="A53" s="3" t="n">
        <v>50</v>
      </c>
      <c r="B53" s="6" t="s">
        <v>880</v>
      </c>
      <c r="C53" s="3" t="n">
        <v>50080</v>
      </c>
      <c r="D53" s="6" t="s">
        <v>889</v>
      </c>
      <c r="E53" s="7" t="n">
        <v>198</v>
      </c>
    </row>
    <row r="54" customFormat="false" ht="15" hidden="false" customHeight="false" outlineLevel="0" collapsed="false">
      <c r="A54" s="3" t="n">
        <v>50</v>
      </c>
      <c r="B54" s="6" t="s">
        <v>880</v>
      </c>
      <c r="C54" s="3" t="n">
        <v>50090</v>
      </c>
      <c r="D54" s="6" t="s">
        <v>890</v>
      </c>
      <c r="E54" s="7" t="n">
        <v>70</v>
      </c>
    </row>
    <row r="55" customFormat="false" ht="15" hidden="false" customHeight="false" outlineLevel="0" collapsed="false">
      <c r="A55" s="3" t="n">
        <v>50</v>
      </c>
      <c r="B55" s="6" t="s">
        <v>880</v>
      </c>
      <c r="C55" s="3" t="n">
        <v>50100</v>
      </c>
      <c r="D55" s="6" t="s">
        <v>891</v>
      </c>
      <c r="E55" s="7" t="n">
        <v>28</v>
      </c>
    </row>
    <row r="56" customFormat="false" ht="15" hidden="false" customHeight="false" outlineLevel="0" collapsed="false">
      <c r="A56" s="3" t="n">
        <v>50</v>
      </c>
      <c r="B56" s="6" t="s">
        <v>880</v>
      </c>
      <c r="C56" s="3" t="n">
        <v>50110</v>
      </c>
      <c r="D56" s="6" t="s">
        <v>892</v>
      </c>
      <c r="E56" s="7" t="n">
        <v>13</v>
      </c>
    </row>
    <row r="57" customFormat="false" ht="15" hidden="false" customHeight="false" outlineLevel="0" collapsed="false">
      <c r="A57" s="3" t="n">
        <v>60</v>
      </c>
      <c r="B57" s="6" t="s">
        <v>893</v>
      </c>
      <c r="C57" s="3" t="n">
        <v>60010</v>
      </c>
      <c r="D57" s="6" t="s">
        <v>894</v>
      </c>
      <c r="E57" s="7" t="n">
        <v>20</v>
      </c>
    </row>
    <row r="58" customFormat="false" ht="15" hidden="false" customHeight="false" outlineLevel="0" collapsed="false">
      <c r="A58" s="3" t="n">
        <v>60</v>
      </c>
      <c r="B58" s="6" t="s">
        <v>893</v>
      </c>
      <c r="C58" s="3" t="n">
        <v>60020</v>
      </c>
      <c r="D58" s="6" t="s">
        <v>895</v>
      </c>
      <c r="E58" s="7" t="n">
        <v>332</v>
      </c>
    </row>
    <row r="59" customFormat="false" ht="15" hidden="false" customHeight="false" outlineLevel="0" collapsed="false">
      <c r="A59" s="3" t="n">
        <v>60</v>
      </c>
      <c r="B59" s="6" t="s">
        <v>893</v>
      </c>
      <c r="C59" s="3" t="n">
        <v>60030</v>
      </c>
      <c r="D59" s="6" t="s">
        <v>896</v>
      </c>
      <c r="E59" s="7" t="n">
        <v>1</v>
      </c>
    </row>
    <row r="60" customFormat="false" ht="15" hidden="false" customHeight="false" outlineLevel="0" collapsed="false">
      <c r="A60" s="3" t="n">
        <v>60</v>
      </c>
      <c r="B60" s="6" t="s">
        <v>893</v>
      </c>
      <c r="C60" s="3" t="n">
        <v>60040</v>
      </c>
      <c r="D60" s="6" t="s">
        <v>897</v>
      </c>
      <c r="E60" s="7" t="n">
        <v>17</v>
      </c>
    </row>
    <row r="61" customFormat="false" ht="15" hidden="false" customHeight="false" outlineLevel="0" collapsed="false">
      <c r="A61" s="3" t="n">
        <v>60</v>
      </c>
      <c r="B61" s="6" t="s">
        <v>893</v>
      </c>
      <c r="C61" s="3" t="n">
        <v>60050</v>
      </c>
      <c r="D61" s="6" t="s">
        <v>874</v>
      </c>
      <c r="E61" s="7" t="n">
        <v>10</v>
      </c>
    </row>
    <row r="62" customFormat="false" ht="15" hidden="false" customHeight="false" outlineLevel="0" collapsed="false">
      <c r="A62" s="3" t="n">
        <v>60</v>
      </c>
      <c r="B62" s="6" t="s">
        <v>893</v>
      </c>
      <c r="C62" s="3" t="n">
        <v>60060</v>
      </c>
      <c r="D62" s="6" t="s">
        <v>872</v>
      </c>
      <c r="E62" s="7" t="n">
        <v>86</v>
      </c>
    </row>
    <row r="63" customFormat="false" ht="15" hidden="false" customHeight="false" outlineLevel="0" collapsed="false">
      <c r="A63" s="3" t="n">
        <v>60</v>
      </c>
      <c r="B63" s="6" t="s">
        <v>893</v>
      </c>
      <c r="C63" s="3" t="n">
        <v>60080</v>
      </c>
      <c r="D63" s="6" t="s">
        <v>845</v>
      </c>
      <c r="E63" s="7" t="n">
        <v>100</v>
      </c>
    </row>
    <row r="64" customFormat="false" ht="15" hidden="false" customHeight="false" outlineLevel="0" collapsed="false">
      <c r="A64" s="3" t="n">
        <v>60</v>
      </c>
      <c r="B64" s="6" t="s">
        <v>893</v>
      </c>
      <c r="C64" s="3" t="n">
        <v>60090</v>
      </c>
      <c r="D64" s="6" t="s">
        <v>898</v>
      </c>
      <c r="E64" s="7" t="n">
        <v>39</v>
      </c>
    </row>
    <row r="65" customFormat="false" ht="15" hidden="false" customHeight="false" outlineLevel="0" collapsed="false">
      <c r="A65" s="3" t="n">
        <v>60</v>
      </c>
      <c r="B65" s="6" t="s">
        <v>893</v>
      </c>
      <c r="C65" s="3" t="n">
        <v>60110</v>
      </c>
      <c r="D65" s="6" t="s">
        <v>899</v>
      </c>
      <c r="E65" s="7" t="n">
        <v>41</v>
      </c>
    </row>
    <row r="66" customFormat="false" ht="15" hidden="false" customHeight="false" outlineLevel="0" collapsed="false">
      <c r="A66" s="3" t="n">
        <v>60</v>
      </c>
      <c r="B66" s="6" t="s">
        <v>893</v>
      </c>
      <c r="C66" s="3" t="n">
        <v>60120</v>
      </c>
      <c r="D66" s="6" t="s">
        <v>900</v>
      </c>
      <c r="E66" s="7" t="n">
        <v>10</v>
      </c>
    </row>
    <row r="67" customFormat="false" ht="15" hidden="false" customHeight="false" outlineLevel="0" collapsed="false">
      <c r="A67" s="3" t="n">
        <v>70</v>
      </c>
      <c r="B67" s="6" t="s">
        <v>901</v>
      </c>
      <c r="C67" s="3" t="n">
        <v>70010</v>
      </c>
      <c r="D67" s="6" t="s">
        <v>902</v>
      </c>
      <c r="E67" s="7" t="n">
        <v>3</v>
      </c>
    </row>
    <row r="68" customFormat="false" ht="15" hidden="false" customHeight="false" outlineLevel="0" collapsed="false">
      <c r="A68" s="3" t="n">
        <v>70</v>
      </c>
      <c r="B68" s="6" t="s">
        <v>901</v>
      </c>
      <c r="C68" s="3" t="n">
        <v>70020</v>
      </c>
      <c r="D68" s="6" t="s">
        <v>903</v>
      </c>
      <c r="E68" s="7" t="n">
        <v>19</v>
      </c>
    </row>
    <row r="69" customFormat="false" ht="15" hidden="false" customHeight="false" outlineLevel="0" collapsed="false">
      <c r="A69" s="3" t="n">
        <v>70</v>
      </c>
      <c r="B69" s="6" t="s">
        <v>901</v>
      </c>
      <c r="C69" s="3" t="n">
        <v>70040</v>
      </c>
      <c r="D69" s="6" t="s">
        <v>904</v>
      </c>
      <c r="E69" s="7" t="n">
        <v>28</v>
      </c>
    </row>
    <row r="70" customFormat="false" ht="15" hidden="false" customHeight="false" outlineLevel="0" collapsed="false">
      <c r="A70" s="3" t="n">
        <v>80</v>
      </c>
      <c r="B70" s="6" t="s">
        <v>905</v>
      </c>
      <c r="C70" s="3" t="n">
        <v>80010</v>
      </c>
      <c r="D70" s="6" t="s">
        <v>906</v>
      </c>
      <c r="E70" s="7" t="n">
        <v>19</v>
      </c>
    </row>
    <row r="71" customFormat="false" ht="15" hidden="false" customHeight="false" outlineLevel="0" collapsed="false">
      <c r="A71" s="3" t="n">
        <v>80</v>
      </c>
      <c r="B71" s="6" t="s">
        <v>905</v>
      </c>
      <c r="C71" s="3" t="n">
        <v>80020</v>
      </c>
      <c r="D71" s="6" t="s">
        <v>907</v>
      </c>
      <c r="E71" s="7" t="n">
        <v>11</v>
      </c>
    </row>
    <row r="72" customFormat="false" ht="15" hidden="false" customHeight="false" outlineLevel="0" collapsed="false">
      <c r="A72" s="3" t="n">
        <v>80</v>
      </c>
      <c r="B72" s="6" t="s">
        <v>905</v>
      </c>
      <c r="C72" s="3" t="n">
        <v>80030</v>
      </c>
      <c r="D72" s="6" t="s">
        <v>908</v>
      </c>
      <c r="E72" s="7" t="n">
        <v>8</v>
      </c>
    </row>
    <row r="73" customFormat="false" ht="15" hidden="false" customHeight="false" outlineLevel="0" collapsed="false">
      <c r="A73" s="3" t="n">
        <v>80</v>
      </c>
      <c r="B73" s="6" t="s">
        <v>905</v>
      </c>
      <c r="C73" s="3" t="n">
        <v>80040</v>
      </c>
      <c r="D73" s="6" t="s">
        <v>909</v>
      </c>
      <c r="E73" s="7" t="n">
        <v>2</v>
      </c>
    </row>
    <row r="74" customFormat="false" ht="15" hidden="false" customHeight="false" outlineLevel="0" collapsed="false">
      <c r="A74" s="3" t="n">
        <v>80</v>
      </c>
      <c r="B74" s="6" t="s">
        <v>905</v>
      </c>
      <c r="C74" s="3" t="n">
        <v>80050</v>
      </c>
      <c r="D74" s="6" t="s">
        <v>910</v>
      </c>
      <c r="E74" s="7" t="n">
        <v>11</v>
      </c>
    </row>
    <row r="75" customFormat="false" ht="15" hidden="false" customHeight="false" outlineLevel="0" collapsed="false">
      <c r="A75" s="3" t="n">
        <v>80</v>
      </c>
      <c r="B75" s="6" t="s">
        <v>905</v>
      </c>
      <c r="C75" s="3" t="n">
        <v>80060</v>
      </c>
      <c r="D75" s="6" t="s">
        <v>911</v>
      </c>
      <c r="E75" s="7" t="n">
        <v>21</v>
      </c>
    </row>
    <row r="76" customFormat="false" ht="15" hidden="false" customHeight="false" outlineLevel="0" collapsed="false">
      <c r="A76" s="3" t="n">
        <v>80</v>
      </c>
      <c r="B76" s="6" t="s">
        <v>905</v>
      </c>
      <c r="C76" s="3" t="n">
        <v>80070</v>
      </c>
      <c r="D76" s="6" t="s">
        <v>912</v>
      </c>
      <c r="E76" s="7" t="n">
        <v>4</v>
      </c>
    </row>
    <row r="77" customFormat="false" ht="15" hidden="false" customHeight="false" outlineLevel="0" collapsed="false">
      <c r="A77" s="3" t="n">
        <v>90</v>
      </c>
      <c r="B77" s="6" t="s">
        <v>913</v>
      </c>
      <c r="C77" s="3" t="n">
        <v>90010</v>
      </c>
      <c r="D77" s="6" t="s">
        <v>914</v>
      </c>
      <c r="E77" s="7" t="n">
        <v>23</v>
      </c>
    </row>
    <row r="78" customFormat="false" ht="15" hidden="false" customHeight="false" outlineLevel="0" collapsed="false">
      <c r="A78" s="3" t="n">
        <v>90</v>
      </c>
      <c r="B78" s="6" t="s">
        <v>913</v>
      </c>
      <c r="C78" s="3" t="n">
        <v>90020</v>
      </c>
      <c r="D78" s="6" t="s">
        <v>915</v>
      </c>
      <c r="E78" s="7" t="n">
        <v>21</v>
      </c>
    </row>
    <row r="79" customFormat="false" ht="15" hidden="false" customHeight="false" outlineLevel="0" collapsed="false">
      <c r="A79" s="3" t="n">
        <v>90</v>
      </c>
      <c r="B79" s="6" t="s">
        <v>913</v>
      </c>
      <c r="C79" s="3" t="n">
        <v>90030</v>
      </c>
      <c r="D79" s="6" t="s">
        <v>916</v>
      </c>
      <c r="E79" s="7" t="n">
        <v>22</v>
      </c>
    </row>
    <row r="80" customFormat="false" ht="15" hidden="false" customHeight="false" outlineLevel="0" collapsed="false">
      <c r="A80" s="3" t="n">
        <v>90</v>
      </c>
      <c r="B80" s="6" t="s">
        <v>913</v>
      </c>
      <c r="C80" s="3" t="n">
        <v>90035</v>
      </c>
      <c r="D80" s="6" t="s">
        <v>917</v>
      </c>
      <c r="E80" s="7" t="n">
        <v>44</v>
      </c>
    </row>
    <row r="81" customFormat="false" ht="15" hidden="false" customHeight="false" outlineLevel="0" collapsed="false">
      <c r="A81" s="3" t="n">
        <v>90</v>
      </c>
      <c r="B81" s="6" t="s">
        <v>913</v>
      </c>
      <c r="C81" s="3" t="n">
        <v>90040</v>
      </c>
      <c r="D81" s="6" t="s">
        <v>918</v>
      </c>
      <c r="E81" s="7" t="n">
        <v>17</v>
      </c>
    </row>
    <row r="82" customFormat="false" ht="15" hidden="false" customHeight="false" outlineLevel="0" collapsed="false">
      <c r="A82" s="3" t="n">
        <v>90</v>
      </c>
      <c r="B82" s="6" t="s">
        <v>913</v>
      </c>
      <c r="C82" s="3" t="n">
        <v>90050</v>
      </c>
      <c r="D82" s="6" t="s">
        <v>919</v>
      </c>
      <c r="E82" s="7" t="n">
        <v>36</v>
      </c>
    </row>
    <row r="83" customFormat="false" ht="15" hidden="false" customHeight="false" outlineLevel="0" collapsed="false">
      <c r="A83" s="3" t="n">
        <v>90</v>
      </c>
      <c r="B83" s="6" t="s">
        <v>913</v>
      </c>
      <c r="C83" s="3" t="n">
        <v>90060</v>
      </c>
      <c r="D83" s="6" t="s">
        <v>920</v>
      </c>
      <c r="E83" s="7" t="n">
        <v>13</v>
      </c>
    </row>
    <row r="84" customFormat="false" ht="15" hidden="false" customHeight="false" outlineLevel="0" collapsed="false">
      <c r="A84" s="3" t="n">
        <v>90</v>
      </c>
      <c r="B84" s="6" t="s">
        <v>913</v>
      </c>
      <c r="C84" s="3" t="n">
        <v>90070</v>
      </c>
      <c r="D84" s="6" t="s">
        <v>921</v>
      </c>
      <c r="E84" s="7" t="n">
        <v>2</v>
      </c>
    </row>
    <row r="85" customFormat="false" ht="15" hidden="false" customHeight="false" outlineLevel="0" collapsed="false">
      <c r="A85" s="3" t="n">
        <v>90</v>
      </c>
      <c r="B85" s="6" t="s">
        <v>913</v>
      </c>
      <c r="C85" s="3" t="n">
        <v>90080</v>
      </c>
      <c r="D85" s="6" t="s">
        <v>922</v>
      </c>
      <c r="E85" s="7" t="n">
        <v>3</v>
      </c>
    </row>
    <row r="86" customFormat="false" ht="15" hidden="false" customHeight="false" outlineLevel="0" collapsed="false">
      <c r="A86" s="3" t="n">
        <v>100</v>
      </c>
      <c r="B86" s="6" t="s">
        <v>923</v>
      </c>
      <c r="C86" s="3" t="n">
        <v>100010</v>
      </c>
      <c r="D86" s="6" t="s">
        <v>924</v>
      </c>
      <c r="E86" s="7" t="n">
        <v>20</v>
      </c>
    </row>
    <row r="87" customFormat="false" ht="15" hidden="false" customHeight="false" outlineLevel="0" collapsed="false">
      <c r="A87" s="3" t="n">
        <v>100</v>
      </c>
      <c r="B87" s="6" t="s">
        <v>923</v>
      </c>
      <c r="C87" s="3" t="n">
        <v>100020</v>
      </c>
      <c r="D87" s="6" t="s">
        <v>925</v>
      </c>
      <c r="E87" s="7" t="n">
        <v>9</v>
      </c>
    </row>
    <row r="88" customFormat="false" ht="15" hidden="false" customHeight="false" outlineLevel="0" collapsed="false">
      <c r="A88" s="3" t="n">
        <v>100</v>
      </c>
      <c r="B88" s="6" t="s">
        <v>923</v>
      </c>
      <c r="C88" s="3" t="n">
        <v>100030</v>
      </c>
      <c r="D88" s="6" t="s">
        <v>926</v>
      </c>
      <c r="E88" s="7" t="n">
        <v>1</v>
      </c>
    </row>
    <row r="89" customFormat="false" ht="15" hidden="false" customHeight="false" outlineLevel="0" collapsed="false">
      <c r="A89" s="3" t="n">
        <v>100</v>
      </c>
      <c r="B89" s="6" t="s">
        <v>923</v>
      </c>
      <c r="C89" s="3" t="n">
        <v>100040</v>
      </c>
      <c r="D89" s="6" t="s">
        <v>927</v>
      </c>
      <c r="E89" s="7" t="n">
        <v>6</v>
      </c>
    </row>
    <row r="90" customFormat="false" ht="15" hidden="false" customHeight="false" outlineLevel="0" collapsed="false">
      <c r="A90" s="3" t="n">
        <v>100</v>
      </c>
      <c r="B90" s="6" t="s">
        <v>923</v>
      </c>
      <c r="C90" s="3" t="n">
        <v>100050</v>
      </c>
      <c r="D90" s="6" t="s">
        <v>928</v>
      </c>
      <c r="E90" s="7" t="n">
        <v>16</v>
      </c>
    </row>
    <row r="91" customFormat="false" ht="15" hidden="false" customHeight="false" outlineLevel="0" collapsed="false">
      <c r="A91" s="3" t="n">
        <v>100</v>
      </c>
      <c r="B91" s="6" t="s">
        <v>923</v>
      </c>
      <c r="C91" s="3" t="n">
        <v>100060</v>
      </c>
      <c r="D91" s="6" t="s">
        <v>929</v>
      </c>
      <c r="E91" s="7" t="n">
        <v>2</v>
      </c>
    </row>
    <row r="92" customFormat="false" ht="15" hidden="false" customHeight="false" outlineLevel="0" collapsed="false">
      <c r="A92" s="3" t="n">
        <v>110</v>
      </c>
      <c r="B92" s="6" t="s">
        <v>930</v>
      </c>
      <c r="C92" s="3" t="n">
        <v>110020</v>
      </c>
      <c r="D92" s="6" t="s">
        <v>931</v>
      </c>
      <c r="E92" s="7" t="n">
        <v>47</v>
      </c>
    </row>
    <row r="93" customFormat="false" ht="15" hidden="false" customHeight="false" outlineLevel="0" collapsed="false">
      <c r="A93" s="3" t="n">
        <v>110</v>
      </c>
      <c r="B93" s="6" t="s">
        <v>930</v>
      </c>
      <c r="C93" s="3" t="n">
        <v>110030</v>
      </c>
      <c r="D93" s="6" t="s">
        <v>932</v>
      </c>
      <c r="E93" s="7" t="n">
        <v>4</v>
      </c>
    </row>
    <row r="94" customFormat="false" ht="15" hidden="false" customHeight="false" outlineLevel="0" collapsed="false">
      <c r="A94" s="3" t="n">
        <v>110</v>
      </c>
      <c r="B94" s="6" t="s">
        <v>930</v>
      </c>
      <c r="C94" s="3" t="n">
        <v>110040</v>
      </c>
      <c r="D94" s="6" t="s">
        <v>933</v>
      </c>
      <c r="E94" s="7" t="n">
        <v>4</v>
      </c>
    </row>
    <row r="95" customFormat="false" ht="15" hidden="false" customHeight="false" outlineLevel="0" collapsed="false">
      <c r="A95" s="3" t="n">
        <v>110</v>
      </c>
      <c r="B95" s="6" t="s">
        <v>930</v>
      </c>
      <c r="C95" s="3" t="n">
        <v>110050</v>
      </c>
      <c r="D95" s="6" t="s">
        <v>934</v>
      </c>
      <c r="E95" s="7" t="n">
        <v>4</v>
      </c>
    </row>
    <row r="96" customFormat="false" ht="15" hidden="false" customHeight="false" outlineLevel="0" collapsed="false">
      <c r="A96" s="3" t="n">
        <v>110</v>
      </c>
      <c r="B96" s="6" t="s">
        <v>930</v>
      </c>
      <c r="C96" s="3" t="n">
        <v>110060</v>
      </c>
      <c r="D96" s="6" t="s">
        <v>935</v>
      </c>
      <c r="E96" s="7" t="n">
        <v>33</v>
      </c>
    </row>
    <row r="97" customFormat="false" ht="15" hidden="false" customHeight="false" outlineLevel="0" collapsed="false">
      <c r="A97" s="3" t="n">
        <v>110</v>
      </c>
      <c r="B97" s="6" t="s">
        <v>930</v>
      </c>
      <c r="C97" s="3" t="n">
        <v>110070</v>
      </c>
      <c r="D97" s="6" t="s">
        <v>936</v>
      </c>
      <c r="E97" s="7" t="n">
        <v>7</v>
      </c>
    </row>
    <row r="98" customFormat="false" ht="15" hidden="false" customHeight="false" outlineLevel="0" collapsed="false">
      <c r="A98" s="3" t="n">
        <v>120</v>
      </c>
      <c r="B98" s="6" t="s">
        <v>937</v>
      </c>
      <c r="C98" s="3" t="n">
        <v>120010</v>
      </c>
      <c r="D98" s="6" t="s">
        <v>938</v>
      </c>
      <c r="E98" s="7" t="n">
        <v>125</v>
      </c>
    </row>
    <row r="99" customFormat="false" ht="15" hidden="false" customHeight="false" outlineLevel="0" collapsed="false">
      <c r="A99" s="3" t="n">
        <v>120</v>
      </c>
      <c r="B99" s="6" t="s">
        <v>937</v>
      </c>
      <c r="C99" s="3" t="n">
        <v>120020</v>
      </c>
      <c r="D99" s="6" t="s">
        <v>939</v>
      </c>
      <c r="E99" s="7" t="n">
        <v>64</v>
      </c>
    </row>
    <row r="100" customFormat="false" ht="15" hidden="false" customHeight="false" outlineLevel="0" collapsed="false">
      <c r="A100" s="3" t="n">
        <v>120</v>
      </c>
      <c r="B100" s="6" t="s">
        <v>937</v>
      </c>
      <c r="C100" s="3" t="n">
        <v>120025</v>
      </c>
      <c r="D100" s="6" t="s">
        <v>940</v>
      </c>
      <c r="E100" s="7" t="n">
        <v>17</v>
      </c>
    </row>
    <row r="101" customFormat="false" ht="15" hidden="false" customHeight="false" outlineLevel="0" collapsed="false">
      <c r="A101" s="3" t="n">
        <v>120</v>
      </c>
      <c r="B101" s="6" t="s">
        <v>937</v>
      </c>
      <c r="C101" s="3" t="n">
        <v>120030</v>
      </c>
      <c r="D101" s="6" t="s">
        <v>941</v>
      </c>
      <c r="E101" s="7" t="n">
        <v>43</v>
      </c>
    </row>
    <row r="102" customFormat="false" ht="15" hidden="false" customHeight="false" outlineLevel="0" collapsed="false">
      <c r="A102" s="3" t="n">
        <v>120</v>
      </c>
      <c r="B102" s="6" t="s">
        <v>937</v>
      </c>
      <c r="C102" s="3" t="n">
        <v>120050</v>
      </c>
      <c r="D102" s="6" t="s">
        <v>942</v>
      </c>
      <c r="E102" s="7" t="n">
        <v>10</v>
      </c>
    </row>
    <row r="103" customFormat="false" ht="15" hidden="false" customHeight="false" outlineLevel="0" collapsed="false">
      <c r="A103" s="3" t="n">
        <v>130</v>
      </c>
      <c r="B103" s="6" t="s">
        <v>943</v>
      </c>
      <c r="C103" s="3" t="n">
        <v>130020</v>
      </c>
      <c r="D103" s="6" t="s">
        <v>944</v>
      </c>
      <c r="E103" s="7" t="n">
        <v>2</v>
      </c>
    </row>
    <row r="104" customFormat="false" ht="15" hidden="false" customHeight="false" outlineLevel="0" collapsed="false">
      <c r="A104" s="3" t="n">
        <v>130</v>
      </c>
      <c r="B104" s="6" t="s">
        <v>943</v>
      </c>
      <c r="C104" s="3" t="n">
        <v>130030</v>
      </c>
      <c r="D104" s="6" t="s">
        <v>945</v>
      </c>
      <c r="E104" s="7" t="n">
        <v>5</v>
      </c>
    </row>
    <row r="105" customFormat="false" ht="15" hidden="false" customHeight="false" outlineLevel="0" collapsed="false">
      <c r="A105" s="3" t="n">
        <v>130</v>
      </c>
      <c r="B105" s="6" t="s">
        <v>943</v>
      </c>
      <c r="C105" s="3" t="n">
        <v>130040</v>
      </c>
      <c r="D105" s="6" t="s">
        <v>946</v>
      </c>
      <c r="E105" s="7" t="n">
        <v>7</v>
      </c>
    </row>
    <row r="106" customFormat="false" ht="15" hidden="false" customHeight="false" outlineLevel="0" collapsed="false">
      <c r="A106" s="3" t="n">
        <v>140</v>
      </c>
      <c r="B106" s="6" t="s">
        <v>947</v>
      </c>
      <c r="C106" s="3" t="n">
        <v>140005</v>
      </c>
      <c r="D106" s="6" t="s">
        <v>948</v>
      </c>
      <c r="E106" s="7" t="n">
        <v>71</v>
      </c>
    </row>
    <row r="107" customFormat="false" ht="15" hidden="false" customHeight="false" outlineLevel="0" collapsed="false">
      <c r="A107" s="3" t="n">
        <v>140</v>
      </c>
      <c r="B107" s="6" t="s">
        <v>947</v>
      </c>
      <c r="C107" s="3" t="n">
        <v>140006</v>
      </c>
      <c r="D107" s="6" t="s">
        <v>949</v>
      </c>
      <c r="E107" s="7" t="n">
        <v>27</v>
      </c>
    </row>
    <row r="108" customFormat="false" ht="15" hidden="false" customHeight="false" outlineLevel="0" collapsed="false">
      <c r="A108" s="3" t="n">
        <v>140</v>
      </c>
      <c r="B108" s="6" t="s">
        <v>947</v>
      </c>
      <c r="C108" s="3" t="n">
        <v>140007</v>
      </c>
      <c r="D108" s="6" t="s">
        <v>950</v>
      </c>
      <c r="E108" s="7" t="n">
        <v>29</v>
      </c>
    </row>
    <row r="109" customFormat="false" ht="15" hidden="false" customHeight="false" outlineLevel="0" collapsed="false">
      <c r="A109" s="3" t="n">
        <v>140</v>
      </c>
      <c r="B109" s="6" t="s">
        <v>947</v>
      </c>
      <c r="C109" s="3" t="n">
        <v>140010</v>
      </c>
      <c r="D109" s="6" t="s">
        <v>951</v>
      </c>
      <c r="E109" s="7" t="n">
        <v>7</v>
      </c>
    </row>
    <row r="110" customFormat="false" ht="15" hidden="false" customHeight="false" outlineLevel="0" collapsed="false">
      <c r="A110" s="3" t="n">
        <v>140</v>
      </c>
      <c r="B110" s="6" t="s">
        <v>947</v>
      </c>
      <c r="C110" s="3" t="n">
        <v>140015</v>
      </c>
      <c r="D110" s="6" t="s">
        <v>952</v>
      </c>
      <c r="E110" s="7" t="n">
        <v>28</v>
      </c>
    </row>
    <row r="111" customFormat="false" ht="15" hidden="false" customHeight="false" outlineLevel="0" collapsed="false">
      <c r="A111" s="3" t="n">
        <v>140</v>
      </c>
      <c r="B111" s="6" t="s">
        <v>947</v>
      </c>
      <c r="C111" s="3" t="n">
        <v>140017</v>
      </c>
      <c r="D111" s="6" t="s">
        <v>953</v>
      </c>
      <c r="E111" s="7" t="n">
        <v>16</v>
      </c>
    </row>
    <row r="112" customFormat="false" ht="15" hidden="false" customHeight="false" outlineLevel="0" collapsed="false">
      <c r="A112" s="3" t="n">
        <v>140</v>
      </c>
      <c r="B112" s="6" t="s">
        <v>947</v>
      </c>
      <c r="C112" s="3" t="n">
        <v>140020</v>
      </c>
      <c r="D112" s="6" t="s">
        <v>954</v>
      </c>
      <c r="E112" s="7" t="n">
        <v>18</v>
      </c>
    </row>
    <row r="113" customFormat="false" ht="15" hidden="false" customHeight="false" outlineLevel="0" collapsed="false">
      <c r="A113" s="3" t="n">
        <v>140</v>
      </c>
      <c r="B113" s="6" t="s">
        <v>947</v>
      </c>
      <c r="C113" s="3" t="n">
        <v>140030</v>
      </c>
      <c r="D113" s="6" t="s">
        <v>955</v>
      </c>
      <c r="E113" s="7" t="n">
        <v>7</v>
      </c>
    </row>
    <row r="114" customFormat="false" ht="15" hidden="false" customHeight="false" outlineLevel="0" collapsed="false">
      <c r="A114" s="3" t="n">
        <v>140</v>
      </c>
      <c r="B114" s="6" t="s">
        <v>947</v>
      </c>
      <c r="C114" s="3" t="n">
        <v>140040</v>
      </c>
      <c r="D114" s="6" t="s">
        <v>956</v>
      </c>
      <c r="E114" s="7" t="n">
        <v>18</v>
      </c>
    </row>
    <row r="115" customFormat="false" ht="15" hidden="false" customHeight="false" outlineLevel="0" collapsed="false">
      <c r="A115" s="3" t="n">
        <v>140</v>
      </c>
      <c r="B115" s="6" t="s">
        <v>947</v>
      </c>
      <c r="C115" s="3" t="n">
        <v>140050</v>
      </c>
      <c r="D115" s="6" t="s">
        <v>957</v>
      </c>
      <c r="E115" s="7" t="n">
        <v>10</v>
      </c>
    </row>
    <row r="116" customFormat="false" ht="15" hidden="false" customHeight="false" outlineLevel="0" collapsed="false">
      <c r="A116" s="3" t="n">
        <v>140</v>
      </c>
      <c r="B116" s="6" t="s">
        <v>947</v>
      </c>
      <c r="C116" s="3" t="n">
        <v>140055</v>
      </c>
      <c r="D116" s="6" t="s">
        <v>958</v>
      </c>
      <c r="E116" s="7" t="n">
        <v>2</v>
      </c>
    </row>
    <row r="117" customFormat="false" ht="15" hidden="false" customHeight="false" outlineLevel="0" collapsed="false">
      <c r="A117" s="3" t="n">
        <v>140</v>
      </c>
      <c r="B117" s="6" t="s">
        <v>947</v>
      </c>
      <c r="C117" s="3" t="n">
        <v>140060</v>
      </c>
      <c r="D117" s="6" t="s">
        <v>959</v>
      </c>
      <c r="E117" s="7" t="n">
        <v>19</v>
      </c>
    </row>
    <row r="118" customFormat="false" ht="15" hidden="false" customHeight="false" outlineLevel="0" collapsed="false">
      <c r="A118" s="3" t="n">
        <v>140</v>
      </c>
      <c r="B118" s="6" t="s">
        <v>947</v>
      </c>
      <c r="C118" s="3" t="n">
        <v>140070</v>
      </c>
      <c r="D118" s="6" t="s">
        <v>960</v>
      </c>
      <c r="E118" s="7" t="n">
        <v>31</v>
      </c>
    </row>
    <row r="119" customFormat="false" ht="15" hidden="false" customHeight="false" outlineLevel="0" collapsed="false">
      <c r="A119" s="3" t="n">
        <v>140</v>
      </c>
      <c r="B119" s="6" t="s">
        <v>947</v>
      </c>
      <c r="C119" s="3" t="n">
        <v>140090</v>
      </c>
      <c r="D119" s="6" t="s">
        <v>961</v>
      </c>
      <c r="E119" s="7" t="n">
        <v>13</v>
      </c>
    </row>
    <row r="120" customFormat="false" ht="15" hidden="false" customHeight="false" outlineLevel="0" collapsed="false">
      <c r="A120" s="3" t="n">
        <v>140</v>
      </c>
      <c r="B120" s="6" t="s">
        <v>947</v>
      </c>
      <c r="C120" s="3" t="n">
        <v>140095</v>
      </c>
      <c r="D120" s="6" t="s">
        <v>962</v>
      </c>
      <c r="E120" s="7" t="n">
        <v>19</v>
      </c>
    </row>
    <row r="121" customFormat="false" ht="15" hidden="false" customHeight="false" outlineLevel="0" collapsed="false">
      <c r="A121" s="3" t="n">
        <v>140</v>
      </c>
      <c r="B121" s="6" t="s">
        <v>947</v>
      </c>
      <c r="C121" s="3" t="n">
        <v>140100</v>
      </c>
      <c r="D121" s="6" t="s">
        <v>904</v>
      </c>
      <c r="E121" s="7" t="n">
        <v>78</v>
      </c>
    </row>
    <row r="122" customFormat="false" ht="15" hidden="false" customHeight="false" outlineLevel="0" collapsed="false">
      <c r="A122" s="3" t="n">
        <v>150</v>
      </c>
      <c r="B122" s="6" t="s">
        <v>963</v>
      </c>
      <c r="C122" s="3" t="n">
        <v>150010</v>
      </c>
      <c r="D122" s="6" t="s">
        <v>964</v>
      </c>
      <c r="E122" s="7" t="n">
        <v>21</v>
      </c>
    </row>
    <row r="123" customFormat="false" ht="15" hidden="false" customHeight="false" outlineLevel="0" collapsed="false">
      <c r="A123" s="3" t="n">
        <v>150</v>
      </c>
      <c r="B123" s="6" t="s">
        <v>963</v>
      </c>
      <c r="C123" s="3" t="n">
        <v>150020</v>
      </c>
      <c r="D123" s="6" t="s">
        <v>965</v>
      </c>
      <c r="E123" s="7" t="n">
        <v>31</v>
      </c>
    </row>
    <row r="124" customFormat="false" ht="15" hidden="false" customHeight="false" outlineLevel="0" collapsed="false">
      <c r="A124" s="3" t="n">
        <v>150</v>
      </c>
      <c r="B124" s="6" t="s">
        <v>963</v>
      </c>
      <c r="C124" s="3" t="n">
        <v>150030</v>
      </c>
      <c r="D124" s="6" t="s">
        <v>966</v>
      </c>
      <c r="E124" s="7" t="n">
        <v>79</v>
      </c>
    </row>
    <row r="125" customFormat="false" ht="15" hidden="false" customHeight="false" outlineLevel="0" collapsed="false">
      <c r="A125" s="3" t="n">
        <v>150</v>
      </c>
      <c r="B125" s="6" t="s">
        <v>963</v>
      </c>
      <c r="C125" s="3" t="n">
        <v>150040</v>
      </c>
      <c r="D125" s="6" t="s">
        <v>967</v>
      </c>
      <c r="E125" s="7" t="n">
        <v>4</v>
      </c>
    </row>
    <row r="126" customFormat="false" ht="15" hidden="false" customHeight="false" outlineLevel="0" collapsed="false">
      <c r="A126" s="3" t="n">
        <v>150</v>
      </c>
      <c r="B126" s="6" t="s">
        <v>963</v>
      </c>
      <c r="C126" s="3" t="n">
        <v>150050</v>
      </c>
      <c r="D126" s="6" t="s">
        <v>900</v>
      </c>
      <c r="E126" s="7" t="n">
        <v>13</v>
      </c>
    </row>
    <row r="127" customFormat="false" ht="15" hidden="false" customHeight="false" outlineLevel="0" collapsed="false">
      <c r="A127" s="3" t="n">
        <v>150</v>
      </c>
      <c r="B127" s="6" t="s">
        <v>963</v>
      </c>
      <c r="C127" s="3" t="n">
        <v>150060</v>
      </c>
      <c r="D127" s="6" t="s">
        <v>968</v>
      </c>
      <c r="E127" s="7" t="n">
        <v>8</v>
      </c>
    </row>
    <row r="128" customFormat="false" ht="15" hidden="false" customHeight="false" outlineLevel="0" collapsed="false">
      <c r="A128" s="3" t="n">
        <v>160</v>
      </c>
      <c r="B128" s="6" t="s">
        <v>969</v>
      </c>
      <c r="C128" s="3" t="n">
        <v>160010</v>
      </c>
      <c r="D128" s="6" t="s">
        <v>970</v>
      </c>
      <c r="E128" s="7" t="n">
        <v>40</v>
      </c>
    </row>
    <row r="129" customFormat="false" ht="15" hidden="false" customHeight="false" outlineLevel="0" collapsed="false">
      <c r="A129" s="3" t="n">
        <v>160</v>
      </c>
      <c r="B129" s="6" t="s">
        <v>969</v>
      </c>
      <c r="C129" s="3" t="n">
        <v>160015</v>
      </c>
      <c r="D129" s="6" t="s">
        <v>971</v>
      </c>
      <c r="E129" s="7" t="n">
        <v>1</v>
      </c>
    </row>
    <row r="130" customFormat="false" ht="15" hidden="false" customHeight="false" outlineLevel="0" collapsed="false">
      <c r="A130" s="3" t="n">
        <v>160</v>
      </c>
      <c r="B130" s="6" t="s">
        <v>969</v>
      </c>
      <c r="C130" s="3" t="n">
        <v>160020</v>
      </c>
      <c r="D130" s="6" t="s">
        <v>972</v>
      </c>
      <c r="E130" s="7" t="n">
        <v>24</v>
      </c>
    </row>
    <row r="131" customFormat="false" ht="15" hidden="false" customHeight="false" outlineLevel="0" collapsed="false">
      <c r="A131" s="3" t="n">
        <v>160</v>
      </c>
      <c r="B131" s="6" t="s">
        <v>969</v>
      </c>
      <c r="C131" s="3" t="n">
        <v>160030</v>
      </c>
      <c r="D131" s="6" t="s">
        <v>973</v>
      </c>
      <c r="E131" s="7" t="n">
        <v>7</v>
      </c>
    </row>
    <row r="132" customFormat="false" ht="15" hidden="false" customHeight="false" outlineLevel="0" collapsed="false">
      <c r="A132" s="3" t="n">
        <v>160</v>
      </c>
      <c r="B132" s="6" t="s">
        <v>969</v>
      </c>
      <c r="C132" s="3" t="n">
        <v>160040</v>
      </c>
      <c r="D132" s="6" t="s">
        <v>974</v>
      </c>
      <c r="E132" s="7" t="n">
        <v>7</v>
      </c>
    </row>
    <row r="133" customFormat="false" ht="15" hidden="false" customHeight="false" outlineLevel="0" collapsed="false">
      <c r="A133" s="3" t="n">
        <v>160</v>
      </c>
      <c r="B133" s="6" t="s">
        <v>969</v>
      </c>
      <c r="C133" s="3" t="n">
        <v>160050</v>
      </c>
      <c r="D133" s="6" t="s">
        <v>975</v>
      </c>
      <c r="E133" s="7" t="n">
        <v>14</v>
      </c>
    </row>
    <row r="134" customFormat="false" ht="15" hidden="false" customHeight="false" outlineLevel="0" collapsed="false">
      <c r="A134" s="3" t="n">
        <v>160</v>
      </c>
      <c r="B134" s="6" t="s">
        <v>969</v>
      </c>
      <c r="C134" s="3" t="n">
        <v>160070</v>
      </c>
      <c r="D134" s="6" t="s">
        <v>976</v>
      </c>
      <c r="E134" s="7" t="n">
        <v>2</v>
      </c>
    </row>
    <row r="135" customFormat="false" ht="15" hidden="false" customHeight="false" outlineLevel="0" collapsed="false">
      <c r="A135" s="3" t="n">
        <v>160</v>
      </c>
      <c r="B135" s="6" t="s">
        <v>969</v>
      </c>
      <c r="C135" s="3" t="n">
        <v>160080</v>
      </c>
      <c r="D135" s="6" t="s">
        <v>977</v>
      </c>
      <c r="E135" s="7" t="n">
        <v>10</v>
      </c>
    </row>
    <row r="136" customFormat="false" ht="15" hidden="false" customHeight="false" outlineLevel="0" collapsed="false">
      <c r="A136" s="3" t="n">
        <v>170</v>
      </c>
      <c r="B136" s="6" t="s">
        <v>978</v>
      </c>
      <c r="C136" s="3" t="n">
        <v>170010</v>
      </c>
      <c r="D136" s="6" t="s">
        <v>979</v>
      </c>
      <c r="E136" s="7" t="n">
        <v>20</v>
      </c>
    </row>
    <row r="137" customFormat="false" ht="15" hidden="false" customHeight="false" outlineLevel="0" collapsed="false">
      <c r="A137" s="3" t="n">
        <v>170</v>
      </c>
      <c r="B137" s="6" t="s">
        <v>978</v>
      </c>
      <c r="C137" s="3" t="n">
        <v>170020</v>
      </c>
      <c r="D137" s="6" t="s">
        <v>980</v>
      </c>
      <c r="E137" s="7" t="n">
        <v>81</v>
      </c>
    </row>
    <row r="138" customFormat="false" ht="15" hidden="false" customHeight="false" outlineLevel="0" collapsed="false">
      <c r="A138" s="3" t="n">
        <v>170</v>
      </c>
      <c r="B138" s="6" t="s">
        <v>978</v>
      </c>
      <c r="C138" s="3" t="n">
        <v>170030</v>
      </c>
      <c r="D138" s="6" t="s">
        <v>981</v>
      </c>
      <c r="E138" s="7" t="n">
        <v>53</v>
      </c>
    </row>
    <row r="139" customFormat="false" ht="15" hidden="false" customHeight="false" outlineLevel="0" collapsed="false">
      <c r="A139" s="3" t="n">
        <v>170</v>
      </c>
      <c r="B139" s="6" t="s">
        <v>978</v>
      </c>
      <c r="C139" s="3" t="n">
        <v>170040</v>
      </c>
      <c r="D139" s="6" t="s">
        <v>900</v>
      </c>
      <c r="E139" s="7" t="n">
        <v>9</v>
      </c>
    </row>
    <row r="140" customFormat="false" ht="15" hidden="false" customHeight="false" outlineLevel="0" collapsed="false">
      <c r="A140" s="3" t="n">
        <v>170</v>
      </c>
      <c r="B140" s="6" t="s">
        <v>978</v>
      </c>
      <c r="C140" s="3" t="n">
        <v>170050</v>
      </c>
      <c r="D140" s="6" t="s">
        <v>847</v>
      </c>
      <c r="E140" s="7" t="n">
        <v>28</v>
      </c>
    </row>
    <row r="141" customFormat="false" ht="15" hidden="false" customHeight="false" outlineLevel="0" collapsed="false">
      <c r="A141" s="3" t="n">
        <v>180</v>
      </c>
      <c r="B141" s="6" t="s">
        <v>982</v>
      </c>
      <c r="C141" s="3" t="n">
        <v>180010</v>
      </c>
      <c r="D141" s="6" t="s">
        <v>983</v>
      </c>
      <c r="E141" s="7" t="n">
        <v>7</v>
      </c>
    </row>
    <row r="142" customFormat="false" ht="15" hidden="false" customHeight="false" outlineLevel="0" collapsed="false">
      <c r="A142" s="3" t="n">
        <v>180</v>
      </c>
      <c r="B142" s="6" t="s">
        <v>982</v>
      </c>
      <c r="C142" s="3" t="n">
        <v>180020</v>
      </c>
      <c r="D142" s="6" t="s">
        <v>984</v>
      </c>
      <c r="E142" s="7" t="n">
        <v>38</v>
      </c>
    </row>
    <row r="143" customFormat="false" ht="15" hidden="false" customHeight="false" outlineLevel="0" collapsed="false">
      <c r="A143" s="3" t="n">
        <v>180</v>
      </c>
      <c r="B143" s="6" t="s">
        <v>982</v>
      </c>
      <c r="C143" s="3" t="n">
        <v>180030</v>
      </c>
      <c r="D143" s="6" t="s">
        <v>985</v>
      </c>
      <c r="E143" s="7" t="n">
        <v>7</v>
      </c>
    </row>
    <row r="144" customFormat="false" ht="15" hidden="false" customHeight="false" outlineLevel="0" collapsed="false">
      <c r="A144" s="3" t="n">
        <v>180</v>
      </c>
      <c r="B144" s="6" t="s">
        <v>982</v>
      </c>
      <c r="C144" s="3" t="n">
        <v>180040</v>
      </c>
      <c r="D144" s="6" t="s">
        <v>986</v>
      </c>
      <c r="E144" s="7" t="n">
        <v>77</v>
      </c>
    </row>
    <row r="145" customFormat="false" ht="15" hidden="false" customHeight="false" outlineLevel="0" collapsed="false">
      <c r="A145" s="3" t="n">
        <v>180</v>
      </c>
      <c r="B145" s="6" t="s">
        <v>982</v>
      </c>
      <c r="C145" s="3" t="n">
        <v>180045</v>
      </c>
      <c r="D145" s="6" t="s">
        <v>987</v>
      </c>
      <c r="E145" s="7" t="n">
        <v>13</v>
      </c>
    </row>
    <row r="146" customFormat="false" ht="15" hidden="false" customHeight="false" outlineLevel="0" collapsed="false">
      <c r="A146" s="3" t="n">
        <v>180</v>
      </c>
      <c r="B146" s="6" t="s">
        <v>982</v>
      </c>
      <c r="C146" s="3" t="n">
        <v>180050</v>
      </c>
      <c r="D146" s="6" t="s">
        <v>847</v>
      </c>
      <c r="E146" s="7" t="n">
        <v>210</v>
      </c>
    </row>
    <row r="147" customFormat="false" ht="15" hidden="false" customHeight="false" outlineLevel="0" collapsed="false">
      <c r="A147" s="3" t="n">
        <v>180</v>
      </c>
      <c r="B147" s="6" t="s">
        <v>982</v>
      </c>
      <c r="C147" s="3" t="n">
        <v>180060</v>
      </c>
      <c r="D147" s="6" t="s">
        <v>873</v>
      </c>
      <c r="E147" s="7" t="n">
        <v>74</v>
      </c>
    </row>
    <row r="148" customFormat="false" ht="15" hidden="false" customHeight="false" outlineLevel="0" collapsed="false">
      <c r="A148" s="3" t="n">
        <v>180</v>
      </c>
      <c r="B148" s="6" t="s">
        <v>982</v>
      </c>
      <c r="C148" s="3" t="n">
        <v>180070</v>
      </c>
      <c r="D148" s="6" t="s">
        <v>988</v>
      </c>
      <c r="E148" s="7" t="n">
        <v>8</v>
      </c>
    </row>
    <row r="149" customFormat="false" ht="15" hidden="false" customHeight="false" outlineLevel="0" collapsed="false">
      <c r="A149" s="3" t="n">
        <v>180</v>
      </c>
      <c r="B149" s="6" t="s">
        <v>982</v>
      </c>
      <c r="C149" s="3" t="n">
        <v>180080</v>
      </c>
      <c r="D149" s="6" t="s">
        <v>989</v>
      </c>
      <c r="E149" s="7" t="n">
        <v>17</v>
      </c>
    </row>
    <row r="150" customFormat="false" ht="15" hidden="false" customHeight="false" outlineLevel="0" collapsed="false">
      <c r="A150" s="3" t="n">
        <v>180</v>
      </c>
      <c r="B150" s="6" t="s">
        <v>982</v>
      </c>
      <c r="C150" s="3" t="n">
        <v>180090</v>
      </c>
      <c r="D150" s="6" t="s">
        <v>990</v>
      </c>
      <c r="E150" s="7" t="n">
        <v>4</v>
      </c>
    </row>
    <row r="151" customFormat="false" ht="15" hidden="false" customHeight="false" outlineLevel="0" collapsed="false">
      <c r="A151" s="3" t="n">
        <v>190</v>
      </c>
      <c r="B151" s="6" t="s">
        <v>991</v>
      </c>
      <c r="C151" s="3" t="n">
        <v>190010</v>
      </c>
      <c r="D151" s="6" t="s">
        <v>992</v>
      </c>
      <c r="E151" s="7" t="n">
        <v>128</v>
      </c>
    </row>
    <row r="152" customFormat="false" ht="15" hidden="false" customHeight="false" outlineLevel="0" collapsed="false">
      <c r="A152" s="3" t="n">
        <v>190</v>
      </c>
      <c r="B152" s="6" t="s">
        <v>991</v>
      </c>
      <c r="C152" s="3" t="n">
        <v>190020</v>
      </c>
      <c r="D152" s="6" t="s">
        <v>993</v>
      </c>
      <c r="E152" s="7" t="n">
        <v>132</v>
      </c>
    </row>
    <row r="153" customFormat="false" ht="15" hidden="false" customHeight="false" outlineLevel="0" collapsed="false">
      <c r="A153" s="3" t="n">
        <v>190</v>
      </c>
      <c r="B153" s="6" t="s">
        <v>991</v>
      </c>
      <c r="C153" s="3" t="n">
        <v>190030</v>
      </c>
      <c r="D153" s="6" t="s">
        <v>994</v>
      </c>
      <c r="E153" s="7" t="n">
        <v>12</v>
      </c>
    </row>
    <row r="154" customFormat="false" ht="15" hidden="false" customHeight="false" outlineLevel="0" collapsed="false">
      <c r="A154" s="3" t="n">
        <v>190</v>
      </c>
      <c r="B154" s="6" t="s">
        <v>991</v>
      </c>
      <c r="C154" s="3" t="n">
        <v>190040</v>
      </c>
      <c r="D154" s="6" t="s">
        <v>900</v>
      </c>
      <c r="E154" s="7" t="n">
        <v>64</v>
      </c>
    </row>
    <row r="155" customFormat="false" ht="15" hidden="false" customHeight="false" outlineLevel="0" collapsed="false">
      <c r="A155" s="3" t="n">
        <v>190</v>
      </c>
      <c r="B155" s="6" t="s">
        <v>991</v>
      </c>
      <c r="C155" s="3" t="n">
        <v>190050</v>
      </c>
      <c r="D155" s="6" t="s">
        <v>995</v>
      </c>
      <c r="E155" s="7" t="n">
        <v>42</v>
      </c>
    </row>
    <row r="156" customFormat="false" ht="15" hidden="false" customHeight="false" outlineLevel="0" collapsed="false">
      <c r="A156" s="3" t="n">
        <v>190</v>
      </c>
      <c r="B156" s="6" t="s">
        <v>991</v>
      </c>
      <c r="C156" s="3" t="n">
        <v>190060</v>
      </c>
      <c r="D156" s="6" t="s">
        <v>973</v>
      </c>
      <c r="E156" s="7" t="n">
        <v>18</v>
      </c>
    </row>
    <row r="157" customFormat="false" ht="15" hidden="false" customHeight="false" outlineLevel="0" collapsed="false">
      <c r="A157" s="3" t="n">
        <v>200</v>
      </c>
      <c r="B157" s="6" t="s">
        <v>996</v>
      </c>
      <c r="C157" s="3" t="n">
        <v>200010</v>
      </c>
      <c r="D157" s="6" t="s">
        <v>997</v>
      </c>
      <c r="E157" s="7" t="n">
        <v>16</v>
      </c>
    </row>
    <row r="158" customFormat="false" ht="15" hidden="false" customHeight="false" outlineLevel="0" collapsed="false">
      <c r="A158" s="3" t="n">
        <v>200</v>
      </c>
      <c r="B158" s="6" t="s">
        <v>996</v>
      </c>
      <c r="C158" s="3" t="n">
        <v>200020</v>
      </c>
      <c r="D158" s="6" t="s">
        <v>998</v>
      </c>
      <c r="E158" s="7" t="n">
        <v>23</v>
      </c>
    </row>
    <row r="159" customFormat="false" ht="15" hidden="false" customHeight="false" outlineLevel="0" collapsed="false">
      <c r="A159" s="3" t="n">
        <v>200</v>
      </c>
      <c r="B159" s="6" t="s">
        <v>996</v>
      </c>
      <c r="C159" s="3" t="n">
        <v>200030</v>
      </c>
      <c r="D159" s="6" t="s">
        <v>870</v>
      </c>
      <c r="E159" s="7" t="n">
        <v>9</v>
      </c>
    </row>
    <row r="160" customFormat="false" ht="15" hidden="false" customHeight="false" outlineLevel="0" collapsed="false">
      <c r="A160" s="3" t="n">
        <v>200</v>
      </c>
      <c r="B160" s="6" t="s">
        <v>996</v>
      </c>
      <c r="C160" s="3" t="n">
        <v>200040</v>
      </c>
      <c r="D160" s="6" t="s">
        <v>999</v>
      </c>
      <c r="E160" s="7" t="n">
        <v>4</v>
      </c>
    </row>
    <row r="161" customFormat="false" ht="15" hidden="false" customHeight="false" outlineLevel="0" collapsed="false">
      <c r="A161" s="3" t="n">
        <v>200</v>
      </c>
      <c r="B161" s="6" t="s">
        <v>996</v>
      </c>
      <c r="C161" s="3" t="n">
        <v>200060</v>
      </c>
      <c r="D161" s="6" t="s">
        <v>960</v>
      </c>
      <c r="E161" s="7" t="n">
        <v>3</v>
      </c>
    </row>
    <row r="162" customFormat="false" ht="15" hidden="false" customHeight="false" outlineLevel="0" collapsed="false">
      <c r="A162" s="3" t="n">
        <v>200</v>
      </c>
      <c r="B162" s="6" t="s">
        <v>996</v>
      </c>
      <c r="C162" s="3" t="n">
        <v>200070</v>
      </c>
      <c r="D162" s="6" t="s">
        <v>1000</v>
      </c>
      <c r="E162" s="7" t="n">
        <v>2</v>
      </c>
    </row>
    <row r="163" customFormat="false" ht="15" hidden="false" customHeight="false" outlineLevel="0" collapsed="false">
      <c r="A163" s="3" t="n">
        <v>200</v>
      </c>
      <c r="B163" s="6" t="s">
        <v>996</v>
      </c>
      <c r="C163" s="3" t="n">
        <v>200090</v>
      </c>
      <c r="D163" s="6" t="s">
        <v>1001</v>
      </c>
      <c r="E163" s="7" t="n">
        <v>1</v>
      </c>
    </row>
    <row r="164" customFormat="false" ht="15" hidden="false" customHeight="false" outlineLevel="0" collapsed="false">
      <c r="A164" s="3" t="n">
        <v>200</v>
      </c>
      <c r="B164" s="6" t="s">
        <v>996</v>
      </c>
      <c r="C164" s="3" t="n">
        <v>200100</v>
      </c>
      <c r="D164" s="6" t="s">
        <v>1002</v>
      </c>
      <c r="E164" s="7" t="n">
        <v>6</v>
      </c>
    </row>
    <row r="165" customFormat="false" ht="15" hidden="false" customHeight="false" outlineLevel="0" collapsed="false">
      <c r="A165" s="3" t="n">
        <v>200</v>
      </c>
      <c r="B165" s="6" t="s">
        <v>996</v>
      </c>
      <c r="C165" s="3" t="n">
        <v>200110</v>
      </c>
      <c r="D165" s="6" t="s">
        <v>929</v>
      </c>
      <c r="E165" s="7" t="n">
        <v>25</v>
      </c>
    </row>
    <row r="166" customFormat="false" ht="15" hidden="false" customHeight="false" outlineLevel="0" collapsed="false">
      <c r="A166" s="3" t="n">
        <v>210</v>
      </c>
      <c r="B166" s="6" t="s">
        <v>191</v>
      </c>
      <c r="C166" s="3" t="n">
        <v>210010</v>
      </c>
      <c r="D166" s="6" t="s">
        <v>1003</v>
      </c>
      <c r="E166" s="7" t="n">
        <v>685</v>
      </c>
    </row>
    <row r="167" customFormat="false" ht="15" hidden="false" customHeight="false" outlineLevel="0" collapsed="false">
      <c r="A167" s="3" t="n">
        <v>210</v>
      </c>
      <c r="B167" s="6" t="s">
        <v>191</v>
      </c>
      <c r="C167" s="3" t="n">
        <v>210020</v>
      </c>
      <c r="D167" s="6" t="s">
        <v>1004</v>
      </c>
      <c r="E167" s="7" t="n">
        <v>224</v>
      </c>
    </row>
    <row r="168" customFormat="false" ht="15" hidden="false" customHeight="false" outlineLevel="0" collapsed="false">
      <c r="A168" s="3" t="n">
        <v>210</v>
      </c>
      <c r="B168" s="6" t="s">
        <v>191</v>
      </c>
      <c r="C168" s="3" t="n">
        <v>210030</v>
      </c>
      <c r="D168" s="6" t="s">
        <v>1005</v>
      </c>
      <c r="E168" s="7" t="n">
        <v>114</v>
      </c>
    </row>
    <row r="169" customFormat="false" ht="15" hidden="false" customHeight="false" outlineLevel="0" collapsed="false">
      <c r="A169" s="3" t="n">
        <v>210</v>
      </c>
      <c r="B169" s="6" t="s">
        <v>191</v>
      </c>
      <c r="C169" s="3" t="n">
        <v>210040</v>
      </c>
      <c r="D169" s="6" t="s">
        <v>202</v>
      </c>
      <c r="E169" s="7" t="n">
        <v>398</v>
      </c>
    </row>
    <row r="170" customFormat="false" ht="15" hidden="false" customHeight="false" outlineLevel="0" collapsed="false">
      <c r="A170" s="3" t="n">
        <v>210</v>
      </c>
      <c r="B170" s="6" t="s">
        <v>191</v>
      </c>
      <c r="C170" s="3" t="n">
        <v>210050</v>
      </c>
      <c r="D170" s="6" t="s">
        <v>1006</v>
      </c>
      <c r="E170" s="7" t="n">
        <v>112</v>
      </c>
    </row>
    <row r="171" customFormat="false" ht="15" hidden="false" customHeight="false" outlineLevel="0" collapsed="false">
      <c r="A171" s="3" t="n">
        <v>210</v>
      </c>
      <c r="B171" s="6" t="s">
        <v>191</v>
      </c>
      <c r="C171" s="3" t="n">
        <v>210060</v>
      </c>
      <c r="D171" s="6" t="s">
        <v>1007</v>
      </c>
      <c r="E171" s="7" t="n">
        <v>385</v>
      </c>
    </row>
    <row r="172" customFormat="false" ht="15" hidden="false" customHeight="false" outlineLevel="0" collapsed="false">
      <c r="A172" s="3" t="n">
        <v>210</v>
      </c>
      <c r="B172" s="6" t="s">
        <v>191</v>
      </c>
      <c r="C172" s="3" t="n">
        <v>210070</v>
      </c>
      <c r="D172" s="6" t="s">
        <v>1008</v>
      </c>
      <c r="E172" s="7" t="n">
        <v>2</v>
      </c>
    </row>
    <row r="173" customFormat="false" ht="15" hidden="false" customHeight="false" outlineLevel="0" collapsed="false">
      <c r="A173" s="3" t="n">
        <v>210</v>
      </c>
      <c r="B173" s="6" t="s">
        <v>191</v>
      </c>
      <c r="C173" s="3" t="n">
        <v>210080</v>
      </c>
      <c r="D173" s="6" t="s">
        <v>1009</v>
      </c>
      <c r="E173" s="7" t="n">
        <v>37</v>
      </c>
    </row>
    <row r="174" customFormat="false" ht="15" hidden="false" customHeight="false" outlineLevel="0" collapsed="false">
      <c r="A174" s="3" t="n">
        <v>210</v>
      </c>
      <c r="B174" s="6" t="s">
        <v>191</v>
      </c>
      <c r="C174" s="3" t="n">
        <v>210090</v>
      </c>
      <c r="D174" s="6" t="s">
        <v>1010</v>
      </c>
      <c r="E174" s="7" t="n">
        <v>6</v>
      </c>
    </row>
    <row r="175" customFormat="false" ht="15" hidden="false" customHeight="false" outlineLevel="0" collapsed="false">
      <c r="A175" s="3" t="n">
        <v>210</v>
      </c>
      <c r="B175" s="6" t="s">
        <v>191</v>
      </c>
      <c r="C175" s="3" t="n">
        <v>210100</v>
      </c>
      <c r="D175" s="6" t="s">
        <v>1011</v>
      </c>
      <c r="E175" s="7" t="n">
        <v>44</v>
      </c>
    </row>
    <row r="176" customFormat="false" ht="15" hidden="false" customHeight="false" outlineLevel="0" collapsed="false">
      <c r="A176" s="3" t="n">
        <v>210</v>
      </c>
      <c r="B176" s="6" t="s">
        <v>191</v>
      </c>
      <c r="C176" s="3" t="n">
        <v>210200</v>
      </c>
      <c r="D176" s="6" t="s">
        <v>1012</v>
      </c>
      <c r="E176" s="7" t="n">
        <v>16</v>
      </c>
    </row>
    <row r="177" customFormat="false" ht="15" hidden="false" customHeight="false" outlineLevel="0" collapsed="false">
      <c r="A177" s="3" t="n">
        <v>220</v>
      </c>
      <c r="B177" s="6" t="s">
        <v>1013</v>
      </c>
      <c r="C177" s="3" t="n">
        <v>220010</v>
      </c>
      <c r="D177" s="6" t="s">
        <v>1014</v>
      </c>
      <c r="E177" s="7" t="n">
        <v>223</v>
      </c>
    </row>
    <row r="178" customFormat="false" ht="15" hidden="false" customHeight="false" outlineLevel="0" collapsed="false">
      <c r="A178" s="3" t="n">
        <v>220</v>
      </c>
      <c r="B178" s="6" t="s">
        <v>1013</v>
      </c>
      <c r="C178" s="3" t="n">
        <v>220020</v>
      </c>
      <c r="D178" s="6" t="s">
        <v>1015</v>
      </c>
      <c r="E178" s="7" t="n">
        <v>214</v>
      </c>
    </row>
    <row r="179" customFormat="false" ht="15" hidden="false" customHeight="false" outlineLevel="0" collapsed="false">
      <c r="A179" s="3" t="n">
        <v>220</v>
      </c>
      <c r="B179" s="6" t="s">
        <v>1013</v>
      </c>
      <c r="C179" s="3" t="n">
        <v>220030</v>
      </c>
      <c r="D179" s="6" t="s">
        <v>1016</v>
      </c>
      <c r="E179" s="7" t="n">
        <v>146</v>
      </c>
    </row>
    <row r="180" customFormat="false" ht="15" hidden="false" customHeight="false" outlineLevel="0" collapsed="false">
      <c r="A180" s="3" t="n">
        <v>220</v>
      </c>
      <c r="B180" s="6" t="s">
        <v>1013</v>
      </c>
      <c r="C180" s="3" t="n">
        <v>220050</v>
      </c>
      <c r="D180" s="6" t="s">
        <v>1017</v>
      </c>
      <c r="E180" s="7" t="n">
        <v>4</v>
      </c>
    </row>
    <row r="181" customFormat="false" ht="15" hidden="false" customHeight="false" outlineLevel="0" collapsed="false">
      <c r="A181" s="3" t="n">
        <v>220</v>
      </c>
      <c r="B181" s="6" t="s">
        <v>1013</v>
      </c>
      <c r="C181" s="3" t="n">
        <v>220070</v>
      </c>
      <c r="D181" s="6" t="s">
        <v>1018</v>
      </c>
      <c r="E181" s="7" t="n">
        <v>43</v>
      </c>
    </row>
    <row r="182" customFormat="false" ht="15" hidden="false" customHeight="false" outlineLevel="0" collapsed="false">
      <c r="A182" s="3" t="n">
        <v>220</v>
      </c>
      <c r="B182" s="6" t="s">
        <v>1013</v>
      </c>
      <c r="C182" s="3" t="n">
        <v>220080</v>
      </c>
      <c r="D182" s="6" t="s">
        <v>1019</v>
      </c>
      <c r="E182" s="7" t="n">
        <v>11</v>
      </c>
    </row>
    <row r="183" customFormat="false" ht="15" hidden="false" customHeight="false" outlineLevel="0" collapsed="false">
      <c r="A183" s="3" t="n">
        <v>230</v>
      </c>
      <c r="B183" s="6" t="s">
        <v>1020</v>
      </c>
      <c r="C183" s="3" t="n">
        <v>230010</v>
      </c>
      <c r="D183" s="6" t="s">
        <v>1021</v>
      </c>
      <c r="E183" s="7" t="n">
        <v>4</v>
      </c>
    </row>
    <row r="184" customFormat="false" ht="15" hidden="false" customHeight="false" outlineLevel="0" collapsed="false">
      <c r="A184" s="3" t="n">
        <v>230</v>
      </c>
      <c r="B184" s="6" t="s">
        <v>1020</v>
      </c>
      <c r="C184" s="3" t="n">
        <v>230020</v>
      </c>
      <c r="D184" s="6" t="s">
        <v>1022</v>
      </c>
      <c r="E184" s="7" t="n">
        <v>7</v>
      </c>
    </row>
    <row r="185" customFormat="false" ht="15" hidden="false" customHeight="false" outlineLevel="0" collapsed="false">
      <c r="A185" s="3" t="n">
        <v>230</v>
      </c>
      <c r="B185" s="6" t="s">
        <v>1020</v>
      </c>
      <c r="C185" s="3" t="n">
        <v>230030</v>
      </c>
      <c r="D185" s="6" t="s">
        <v>1023</v>
      </c>
      <c r="E185" s="7" t="n">
        <v>3</v>
      </c>
    </row>
    <row r="186" customFormat="false" ht="15" hidden="false" customHeight="false" outlineLevel="0" collapsed="false">
      <c r="A186" s="3" t="n">
        <v>230</v>
      </c>
      <c r="B186" s="6" t="s">
        <v>1020</v>
      </c>
      <c r="C186" s="3" t="n">
        <v>230040</v>
      </c>
      <c r="D186" s="6" t="s">
        <v>937</v>
      </c>
      <c r="E186" s="7" t="n">
        <v>4</v>
      </c>
    </row>
    <row r="187" customFormat="false" ht="15" hidden="false" customHeight="false" outlineLevel="0" collapsed="false">
      <c r="A187" s="3" t="n">
        <v>230</v>
      </c>
      <c r="B187" s="6" t="s">
        <v>1020</v>
      </c>
      <c r="C187" s="3" t="n">
        <v>230050</v>
      </c>
      <c r="D187" s="6" t="s">
        <v>1024</v>
      </c>
      <c r="E187" s="7" t="n">
        <v>17</v>
      </c>
    </row>
    <row r="188" customFormat="false" ht="15" hidden="false" customHeight="false" outlineLevel="0" collapsed="false">
      <c r="A188" s="3" t="n">
        <v>230</v>
      </c>
      <c r="B188" s="6" t="s">
        <v>1020</v>
      </c>
      <c r="C188" s="3" t="n">
        <v>230060</v>
      </c>
      <c r="D188" s="6" t="s">
        <v>1025</v>
      </c>
      <c r="E188" s="7" t="n">
        <v>3</v>
      </c>
    </row>
    <row r="189" customFormat="false" ht="15" hidden="false" customHeight="false" outlineLevel="0" collapsed="false">
      <c r="A189" s="3" t="n">
        <v>230</v>
      </c>
      <c r="B189" s="6" t="s">
        <v>1020</v>
      </c>
      <c r="C189" s="3" t="n">
        <v>230070</v>
      </c>
      <c r="D189" s="6" t="s">
        <v>1026</v>
      </c>
      <c r="E189" s="7" t="n">
        <v>6</v>
      </c>
    </row>
    <row r="190" customFormat="false" ht="15" hidden="false" customHeight="false" outlineLevel="0" collapsed="false">
      <c r="A190" s="3" t="n">
        <v>230</v>
      </c>
      <c r="B190" s="6" t="s">
        <v>1020</v>
      </c>
      <c r="C190" s="3" t="n">
        <v>230080</v>
      </c>
      <c r="D190" s="6" t="s">
        <v>929</v>
      </c>
      <c r="E190" s="7" t="n">
        <v>10</v>
      </c>
    </row>
    <row r="191" customFormat="false" ht="15" hidden="false" customHeight="false" outlineLevel="0" collapsed="false">
      <c r="A191" s="3" t="n">
        <v>240</v>
      </c>
      <c r="B191" s="6" t="s">
        <v>1027</v>
      </c>
      <c r="C191" s="3" t="n">
        <v>240011</v>
      </c>
      <c r="D191" s="6" t="s">
        <v>1028</v>
      </c>
      <c r="E191" s="7" t="n">
        <v>113</v>
      </c>
    </row>
    <row r="192" customFormat="false" ht="15" hidden="false" customHeight="false" outlineLevel="0" collapsed="false">
      <c r="A192" s="3" t="n">
        <v>240</v>
      </c>
      <c r="B192" s="6" t="s">
        <v>1027</v>
      </c>
      <c r="C192" s="3" t="n">
        <v>240021</v>
      </c>
      <c r="D192" s="6" t="s">
        <v>1029</v>
      </c>
      <c r="E192" s="7" t="n">
        <v>453</v>
      </c>
    </row>
    <row r="193" customFormat="false" ht="15" hidden="false" customHeight="false" outlineLevel="0" collapsed="false">
      <c r="A193" s="3" t="n">
        <v>240</v>
      </c>
      <c r="B193" s="6" t="s">
        <v>1027</v>
      </c>
      <c r="C193" s="3" t="n">
        <v>240022</v>
      </c>
      <c r="D193" s="6" t="s">
        <v>1030</v>
      </c>
      <c r="E193" s="7" t="n">
        <v>254</v>
      </c>
    </row>
    <row r="194" customFormat="false" ht="15" hidden="false" customHeight="false" outlineLevel="0" collapsed="false">
      <c r="A194" s="3" t="n">
        <v>240</v>
      </c>
      <c r="B194" s="6" t="s">
        <v>1027</v>
      </c>
      <c r="C194" s="3" t="n">
        <v>240025</v>
      </c>
      <c r="D194" s="6" t="s">
        <v>1031</v>
      </c>
      <c r="E194" s="7" t="n">
        <v>167</v>
      </c>
    </row>
    <row r="195" customFormat="false" ht="15" hidden="false" customHeight="false" outlineLevel="0" collapsed="false">
      <c r="A195" s="3" t="n">
        <v>240</v>
      </c>
      <c r="B195" s="6" t="s">
        <v>1027</v>
      </c>
      <c r="C195" s="3" t="n">
        <v>240028</v>
      </c>
      <c r="D195" s="6" t="s">
        <v>1032</v>
      </c>
      <c r="E195" s="7" t="n">
        <v>31</v>
      </c>
    </row>
    <row r="196" customFormat="false" ht="15" hidden="false" customHeight="false" outlineLevel="0" collapsed="false">
      <c r="A196" s="3" t="n">
        <v>240</v>
      </c>
      <c r="B196" s="6" t="s">
        <v>1027</v>
      </c>
      <c r="C196" s="3" t="n">
        <v>240030</v>
      </c>
      <c r="D196" s="6" t="s">
        <v>1033</v>
      </c>
      <c r="E196" s="7" t="n">
        <v>339</v>
      </c>
    </row>
    <row r="197" customFormat="false" ht="15" hidden="false" customHeight="false" outlineLevel="0" collapsed="false">
      <c r="A197" s="3" t="n">
        <v>240</v>
      </c>
      <c r="B197" s="6" t="s">
        <v>1027</v>
      </c>
      <c r="C197" s="3" t="n">
        <v>240035</v>
      </c>
      <c r="D197" s="6" t="s">
        <v>1034</v>
      </c>
      <c r="E197" s="7" t="n">
        <v>38</v>
      </c>
    </row>
    <row r="198" customFormat="false" ht="15" hidden="false" customHeight="false" outlineLevel="0" collapsed="false">
      <c r="A198" s="3" t="n">
        <v>240</v>
      </c>
      <c r="B198" s="6" t="s">
        <v>1027</v>
      </c>
      <c r="C198" s="3" t="n">
        <v>240038</v>
      </c>
      <c r="D198" s="6" t="s">
        <v>1035</v>
      </c>
      <c r="E198" s="7" t="n">
        <v>2</v>
      </c>
    </row>
    <row r="199" customFormat="false" ht="15" hidden="false" customHeight="false" outlineLevel="0" collapsed="false">
      <c r="A199" s="3" t="n">
        <v>240</v>
      </c>
      <c r="B199" s="6" t="s">
        <v>1027</v>
      </c>
      <c r="C199" s="3" t="n">
        <v>240040</v>
      </c>
      <c r="D199" s="6" t="s">
        <v>1036</v>
      </c>
      <c r="E199" s="7" t="n">
        <v>34</v>
      </c>
    </row>
    <row r="200" customFormat="false" ht="15" hidden="false" customHeight="false" outlineLevel="0" collapsed="false">
      <c r="A200" s="3" t="n">
        <v>240</v>
      </c>
      <c r="B200" s="6" t="s">
        <v>1027</v>
      </c>
      <c r="C200" s="3" t="n">
        <v>240050</v>
      </c>
      <c r="D200" s="6" t="s">
        <v>948</v>
      </c>
      <c r="E200" s="7" t="n">
        <v>230</v>
      </c>
    </row>
    <row r="201" customFormat="false" ht="15" hidden="false" customHeight="false" outlineLevel="0" collapsed="false">
      <c r="A201" s="3" t="n">
        <v>240</v>
      </c>
      <c r="B201" s="6" t="s">
        <v>1027</v>
      </c>
      <c r="C201" s="3" t="n">
        <v>240055</v>
      </c>
      <c r="D201" s="6" t="s">
        <v>1037</v>
      </c>
      <c r="E201" s="7" t="n">
        <v>251</v>
      </c>
    </row>
    <row r="202" customFormat="false" ht="15" hidden="false" customHeight="false" outlineLevel="0" collapsed="false">
      <c r="A202" s="3" t="n">
        <v>240</v>
      </c>
      <c r="B202" s="6" t="s">
        <v>1027</v>
      </c>
      <c r="C202" s="3" t="n">
        <v>240060</v>
      </c>
      <c r="D202" s="6" t="s">
        <v>1038</v>
      </c>
      <c r="E202" s="7" t="n">
        <v>311</v>
      </c>
    </row>
    <row r="203" customFormat="false" ht="15" hidden="false" customHeight="false" outlineLevel="0" collapsed="false">
      <c r="A203" s="3" t="n">
        <v>240</v>
      </c>
      <c r="B203" s="6" t="s">
        <v>1027</v>
      </c>
      <c r="C203" s="3" t="n">
        <v>240070</v>
      </c>
      <c r="D203" s="6" t="s">
        <v>1039</v>
      </c>
      <c r="E203" s="7" t="n">
        <v>3</v>
      </c>
    </row>
    <row r="204" customFormat="false" ht="15" hidden="false" customHeight="false" outlineLevel="0" collapsed="false">
      <c r="A204" s="3" t="n">
        <v>240</v>
      </c>
      <c r="B204" s="6" t="s">
        <v>1027</v>
      </c>
      <c r="C204" s="3" t="n">
        <v>240100</v>
      </c>
      <c r="D204" s="6" t="s">
        <v>929</v>
      </c>
      <c r="E204" s="7" t="n">
        <v>60</v>
      </c>
    </row>
    <row r="205" customFormat="false" ht="15" hidden="false" customHeight="false" outlineLevel="0" collapsed="false">
      <c r="A205" s="3" t="n">
        <v>240</v>
      </c>
      <c r="B205" s="6" t="s">
        <v>1027</v>
      </c>
      <c r="C205" s="3" t="n">
        <v>240110</v>
      </c>
      <c r="D205" s="6" t="s">
        <v>1040</v>
      </c>
      <c r="E205" s="7" t="n">
        <v>10</v>
      </c>
    </row>
    <row r="206" customFormat="false" ht="15" hidden="false" customHeight="false" outlineLevel="0" collapsed="false">
      <c r="A206" s="3" t="n">
        <v>260</v>
      </c>
      <c r="B206" s="6" t="s">
        <v>1041</v>
      </c>
      <c r="C206" s="3" t="n">
        <v>260010</v>
      </c>
      <c r="D206" s="6" t="s">
        <v>1042</v>
      </c>
      <c r="E206" s="7" t="n">
        <v>4</v>
      </c>
    </row>
    <row r="207" customFormat="false" ht="15" hidden="false" customHeight="false" outlineLevel="0" collapsed="false">
      <c r="A207" s="3" t="n">
        <v>260</v>
      </c>
      <c r="B207" s="6" t="s">
        <v>1041</v>
      </c>
      <c r="C207" s="3" t="n">
        <v>260030</v>
      </c>
      <c r="D207" s="6" t="s">
        <v>947</v>
      </c>
      <c r="E207" s="7" t="n">
        <v>2</v>
      </c>
    </row>
  </sheetData>
  <autoFilter ref="A1:E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70"/>
    <col collapsed="false" customWidth="true" hidden="false" outlineLevel="0" max="9" min="9" style="0" width="50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2" t="s">
        <v>376</v>
      </c>
      <c r="B1" s="12" t="s">
        <v>381</v>
      </c>
      <c r="C1" s="12" t="s">
        <v>1043</v>
      </c>
      <c r="D1" s="12" t="s">
        <v>84</v>
      </c>
      <c r="E1" s="12" t="s">
        <v>85</v>
      </c>
      <c r="F1" s="12" t="s">
        <v>86</v>
      </c>
      <c r="G1" s="12" t="s">
        <v>90</v>
      </c>
      <c r="H1" s="12" t="s">
        <v>1044</v>
      </c>
      <c r="I1" s="12" t="s">
        <v>95</v>
      </c>
      <c r="J1" s="12" t="s">
        <v>96</v>
      </c>
    </row>
    <row r="2" customFormat="false" ht="15" hidden="false" customHeight="false" outlineLevel="0" collapsed="false">
      <c r="A2" s="3" t="n">
        <v>1</v>
      </c>
      <c r="B2" s="6" t="s">
        <v>1045</v>
      </c>
      <c r="C2" s="6" t="s">
        <v>1046</v>
      </c>
      <c r="D2" s="7" t="n">
        <v>946</v>
      </c>
      <c r="E2" s="7" t="n">
        <v>904</v>
      </c>
      <c r="F2" s="8" t="n">
        <f aca="false">IF(D2=0,"",E2/D2)</f>
        <v>0.955602536997886</v>
      </c>
      <c r="G2" s="3" t="n">
        <v>19</v>
      </c>
      <c r="H2" s="6" t="s">
        <v>1047</v>
      </c>
      <c r="I2" s="6"/>
      <c r="J2" s="6" t="s">
        <v>103</v>
      </c>
    </row>
    <row r="3" customFormat="false" ht="15" hidden="false" customHeight="false" outlineLevel="0" collapsed="false">
      <c r="A3" s="3" t="n">
        <v>2</v>
      </c>
      <c r="B3" s="6" t="s">
        <v>1048</v>
      </c>
      <c r="C3" s="6" t="s">
        <v>1049</v>
      </c>
      <c r="D3" s="7" t="n">
        <v>118</v>
      </c>
      <c r="E3" s="7" t="n">
        <v>112</v>
      </c>
      <c r="F3" s="8" t="n">
        <f aca="false">IF(D3=0,"",E3/D3)</f>
        <v>0.949152542372881</v>
      </c>
      <c r="G3" s="3" t="n">
        <v>6</v>
      </c>
      <c r="H3" s="6" t="s">
        <v>1050</v>
      </c>
      <c r="I3" s="6"/>
      <c r="J3" s="6" t="s">
        <v>103</v>
      </c>
    </row>
    <row r="4" customFormat="false" ht="15" hidden="false" customHeight="false" outlineLevel="0" collapsed="false">
      <c r="A4" s="3" t="n">
        <v>3</v>
      </c>
      <c r="B4" s="6" t="s">
        <v>1051</v>
      </c>
      <c r="C4" s="6" t="s">
        <v>1052</v>
      </c>
      <c r="D4" s="7" t="n">
        <v>656</v>
      </c>
      <c r="E4" s="7" t="n">
        <v>430</v>
      </c>
      <c r="F4" s="8" t="n">
        <f aca="false">IF(D4=0,"",E4/D4)</f>
        <v>0.655487804878049</v>
      </c>
      <c r="G4" s="3" t="n">
        <v>25</v>
      </c>
      <c r="H4" s="6" t="s">
        <v>1053</v>
      </c>
      <c r="I4" s="6"/>
      <c r="J4" s="6" t="s">
        <v>103</v>
      </c>
    </row>
    <row r="5" customFormat="false" ht="15" hidden="false" customHeight="false" outlineLevel="0" collapsed="false">
      <c r="A5" s="3" t="n">
        <v>4</v>
      </c>
      <c r="B5" s="6" t="s">
        <v>1054</v>
      </c>
      <c r="C5" s="6" t="s">
        <v>1055</v>
      </c>
      <c r="D5" s="7" t="n">
        <v>3616</v>
      </c>
      <c r="E5" s="7" t="n">
        <v>1708</v>
      </c>
      <c r="F5" s="8" t="n">
        <f aca="false">IF(D5=0,"",E5/D5)</f>
        <v>0.472345132743363</v>
      </c>
      <c r="G5" s="3" t="n">
        <v>62</v>
      </c>
      <c r="H5" s="6" t="s">
        <v>1056</v>
      </c>
      <c r="I5" s="6"/>
      <c r="J5" s="6" t="s">
        <v>103</v>
      </c>
    </row>
    <row r="6" customFormat="false" ht="15" hidden="false" customHeight="false" outlineLevel="0" collapsed="false">
      <c r="A6" s="3" t="n">
        <v>5</v>
      </c>
      <c r="B6" s="6" t="s">
        <v>1057</v>
      </c>
      <c r="C6" s="6" t="s">
        <v>1058</v>
      </c>
      <c r="D6" s="7" t="n">
        <v>12433</v>
      </c>
      <c r="E6" s="7" t="n">
        <v>12433</v>
      </c>
      <c r="F6" s="8" t="n">
        <f aca="false">IF(D6=0,"",E6/D6)</f>
        <v>1</v>
      </c>
      <c r="G6" s="3" t="n">
        <v>9</v>
      </c>
      <c r="H6" s="6" t="s">
        <v>1059</v>
      </c>
      <c r="I6" s="6" t="s">
        <v>1060</v>
      </c>
      <c r="J6" s="6" t="s">
        <v>103</v>
      </c>
    </row>
    <row r="7" customFormat="false" ht="15" hidden="false" customHeight="false" outlineLevel="0" collapsed="false">
      <c r="A7" s="3" t="n">
        <v>6</v>
      </c>
      <c r="B7" s="6" t="s">
        <v>1061</v>
      </c>
      <c r="C7" s="6" t="s">
        <v>1062</v>
      </c>
      <c r="D7" s="7" t="n">
        <v>118</v>
      </c>
      <c r="E7" s="7" t="n">
        <v>107</v>
      </c>
      <c r="F7" s="8" t="n">
        <f aca="false">IF(D7=0,"",E7/D7)</f>
        <v>0.906779661016949</v>
      </c>
      <c r="G7" s="3" t="n">
        <v>4</v>
      </c>
      <c r="H7" s="6" t="s">
        <v>1063</v>
      </c>
      <c r="I7" s="6"/>
      <c r="J7" s="6" t="s">
        <v>103</v>
      </c>
    </row>
    <row r="8" customFormat="false" ht="15" hidden="false" customHeight="false" outlineLevel="0" collapsed="false">
      <c r="A8" s="3" t="n">
        <v>7</v>
      </c>
      <c r="B8" s="6" t="s">
        <v>1064</v>
      </c>
      <c r="C8" s="6" t="s">
        <v>1065</v>
      </c>
      <c r="D8" s="7" t="n">
        <v>447</v>
      </c>
      <c r="E8" s="7" t="n">
        <v>403</v>
      </c>
      <c r="F8" s="8" t="n">
        <f aca="false">IF(D8=0,"",E8/D8)</f>
        <v>0.901565995525727</v>
      </c>
      <c r="G8" s="3" t="n">
        <v>24</v>
      </c>
      <c r="H8" s="6" t="s">
        <v>1066</v>
      </c>
      <c r="I8" s="6"/>
      <c r="J8" s="6" t="s">
        <v>103</v>
      </c>
    </row>
    <row r="9" customFormat="false" ht="23.85" hidden="false" customHeight="false" outlineLevel="0" collapsed="false">
      <c r="A9" s="3" t="n">
        <v>8</v>
      </c>
      <c r="B9" s="6" t="s">
        <v>929</v>
      </c>
      <c r="C9" s="6" t="s">
        <v>1067</v>
      </c>
      <c r="D9" s="7" t="n">
        <v>88</v>
      </c>
      <c r="E9" s="7" t="n">
        <v>53</v>
      </c>
      <c r="F9" s="8" t="n">
        <f aca="false">IF(D9=0,"",E9/D9)</f>
        <v>0.602272727272727</v>
      </c>
      <c r="G9" s="3" t="n">
        <v>24</v>
      </c>
      <c r="H9" s="6" t="s">
        <v>1068</v>
      </c>
      <c r="I9" s="6"/>
      <c r="J9" s="6" t="s">
        <v>103</v>
      </c>
    </row>
    <row r="10" customFormat="false" ht="15" hidden="false" customHeight="false" outlineLevel="0" collapsed="false">
      <c r="A10" s="3" t="n">
        <v>9</v>
      </c>
      <c r="B10" s="6" t="s">
        <v>1069</v>
      </c>
      <c r="C10" s="6" t="s">
        <v>1070</v>
      </c>
      <c r="D10" s="7" t="n">
        <v>175</v>
      </c>
      <c r="E10" s="7" t="n">
        <v>51</v>
      </c>
      <c r="F10" s="8" t="n">
        <f aca="false">IF(D10=0,"",E10/D10)</f>
        <v>0.291428571428571</v>
      </c>
      <c r="G10" s="3" t="n">
        <v>35</v>
      </c>
      <c r="H10" s="6" t="s">
        <v>1071</v>
      </c>
      <c r="I10" s="6"/>
      <c r="J10" s="6" t="s">
        <v>103</v>
      </c>
    </row>
    <row r="11" customFormat="false" ht="23.85" hidden="false" customHeight="false" outlineLevel="0" collapsed="false">
      <c r="A11" s="3" t="n">
        <v>10</v>
      </c>
      <c r="B11" s="6" t="s">
        <v>1072</v>
      </c>
      <c r="C11" s="6" t="s">
        <v>1073</v>
      </c>
      <c r="D11" s="7" t="n">
        <v>119</v>
      </c>
      <c r="E11" s="7" t="n">
        <v>48</v>
      </c>
      <c r="F11" s="8" t="n">
        <f aca="false">IF(D11=0,"",E11/D11)</f>
        <v>0.403361344537815</v>
      </c>
      <c r="G11" s="3" t="n">
        <v>26</v>
      </c>
      <c r="H11" s="6" t="s">
        <v>1074</v>
      </c>
      <c r="I11" s="6"/>
      <c r="J11" s="6" t="s">
        <v>103</v>
      </c>
    </row>
    <row r="12" customFormat="false" ht="23.85" hidden="false" customHeight="false" outlineLevel="0" collapsed="false">
      <c r="A12" s="3" t="n">
        <v>11</v>
      </c>
      <c r="B12" s="6" t="s">
        <v>1075</v>
      </c>
      <c r="C12" s="6" t="s">
        <v>1076</v>
      </c>
      <c r="D12" s="7" t="n">
        <v>118</v>
      </c>
      <c r="E12" s="7" t="n">
        <v>112</v>
      </c>
      <c r="F12" s="8" t="n">
        <f aca="false">IF(D12=0,"",E12/D12)</f>
        <v>0.949152542372881</v>
      </c>
      <c r="G12" s="3" t="n">
        <v>21</v>
      </c>
      <c r="H12" s="6" t="s">
        <v>1077</v>
      </c>
      <c r="I12" s="6"/>
      <c r="J12" s="6" t="s">
        <v>103</v>
      </c>
    </row>
    <row r="13" customFormat="false" ht="15" hidden="false" customHeight="false" outlineLevel="0" collapsed="false">
      <c r="A13" s="3" t="n">
        <v>13</v>
      </c>
      <c r="B13" s="6" t="s">
        <v>1078</v>
      </c>
      <c r="C13" s="6" t="s">
        <v>1079</v>
      </c>
      <c r="D13" s="7" t="n">
        <v>832</v>
      </c>
      <c r="E13" s="7" t="n">
        <v>375</v>
      </c>
      <c r="F13" s="8" t="n">
        <f aca="false">IF(D13=0,"",E13/D13)</f>
        <v>0.450721153846154</v>
      </c>
      <c r="G13" s="3" t="n">
        <v>14</v>
      </c>
      <c r="H13" s="6" t="s">
        <v>1080</v>
      </c>
      <c r="I13" s="6"/>
      <c r="J13" s="6" t="s">
        <v>103</v>
      </c>
    </row>
    <row r="14" customFormat="false" ht="15" hidden="false" customHeight="false" outlineLevel="0" collapsed="false">
      <c r="A14" s="3" t="n">
        <v>15</v>
      </c>
      <c r="B14" s="6" t="s">
        <v>1081</v>
      </c>
      <c r="C14" s="6" t="s">
        <v>1082</v>
      </c>
      <c r="D14" s="7" t="n">
        <v>547</v>
      </c>
      <c r="E14" s="7" t="n">
        <v>8</v>
      </c>
      <c r="F14" s="8" t="n">
        <f aca="false">IF(D14=0,"",E14/D14)</f>
        <v>0.0146252285191956</v>
      </c>
      <c r="G14" s="3" t="n">
        <v>18</v>
      </c>
      <c r="H14" s="6" t="s">
        <v>1083</v>
      </c>
      <c r="I14" s="6"/>
      <c r="J14" s="6" t="s">
        <v>103</v>
      </c>
    </row>
    <row r="15" customFormat="false" ht="15" hidden="false" customHeight="false" outlineLevel="0" collapsed="false">
      <c r="A15" s="3" t="n">
        <v>16</v>
      </c>
      <c r="B15" s="6" t="s">
        <v>1084</v>
      </c>
      <c r="C15" s="6" t="s">
        <v>1085</v>
      </c>
      <c r="D15" s="7" t="n">
        <v>2214</v>
      </c>
      <c r="E15" s="7" t="n">
        <v>580</v>
      </c>
      <c r="F15" s="8" t="n">
        <f aca="false">IF(D15=0,"",E15/D15)</f>
        <v>0.26196928635953</v>
      </c>
      <c r="G15" s="3" t="n">
        <v>20</v>
      </c>
      <c r="H15" s="6" t="s">
        <v>1086</v>
      </c>
      <c r="I15" s="6"/>
      <c r="J15" s="6" t="s">
        <v>103</v>
      </c>
    </row>
    <row r="16" customFormat="false" ht="15" hidden="false" customHeight="false" outlineLevel="0" collapsed="false">
      <c r="A16" s="3" t="n">
        <v>17</v>
      </c>
      <c r="B16" s="6" t="s">
        <v>1087</v>
      </c>
      <c r="C16" s="6" t="s">
        <v>1088</v>
      </c>
      <c r="D16" s="7" t="n">
        <v>2529</v>
      </c>
      <c r="E16" s="7" t="n">
        <v>1586</v>
      </c>
      <c r="F16" s="8" t="n">
        <f aca="false">IF(D16=0,"",E16/D16)</f>
        <v>0.627125345986556</v>
      </c>
      <c r="G16" s="3" t="n">
        <v>35</v>
      </c>
      <c r="H16" s="6" t="s">
        <v>1089</v>
      </c>
      <c r="I16" s="6"/>
      <c r="J16" s="6" t="s">
        <v>103</v>
      </c>
    </row>
    <row r="17" customFormat="false" ht="15" hidden="false" customHeight="false" outlineLevel="0" collapsed="false">
      <c r="A17" s="3" t="n">
        <v>18</v>
      </c>
      <c r="B17" s="6" t="s">
        <v>1090</v>
      </c>
      <c r="C17" s="6" t="s">
        <v>1091</v>
      </c>
      <c r="D17" s="7" t="n">
        <v>5130</v>
      </c>
      <c r="E17" s="7" t="n">
        <v>1432</v>
      </c>
      <c r="F17" s="8" t="n">
        <f aca="false">IF(D17=0,"",E17/D17)</f>
        <v>0.279142300194932</v>
      </c>
      <c r="G17" s="3" t="n">
        <v>80</v>
      </c>
      <c r="H17" s="6" t="s">
        <v>1092</v>
      </c>
      <c r="I17" s="6"/>
      <c r="J17" s="6" t="s">
        <v>103</v>
      </c>
    </row>
    <row r="18" customFormat="false" ht="23.85" hidden="false" customHeight="false" outlineLevel="0" collapsed="false">
      <c r="A18" s="3" t="n">
        <v>19</v>
      </c>
      <c r="B18" s="6" t="s">
        <v>1093</v>
      </c>
      <c r="C18" s="6" t="s">
        <v>1094</v>
      </c>
      <c r="D18" s="7" t="n">
        <v>9689</v>
      </c>
      <c r="E18" s="7" t="n">
        <v>5882</v>
      </c>
      <c r="F18" s="8" t="n">
        <f aca="false">IF(D18=0,"",E18/D18)</f>
        <v>0.607080194034472</v>
      </c>
      <c r="G18" s="3" t="n">
        <v>58</v>
      </c>
      <c r="H18" s="6" t="s">
        <v>1095</v>
      </c>
      <c r="I18" s="6" t="s">
        <v>1096</v>
      </c>
      <c r="J18" s="6" t="s">
        <v>103</v>
      </c>
    </row>
    <row r="19" customFormat="false" ht="15" hidden="false" customHeight="false" outlineLevel="0" collapsed="false">
      <c r="A19" s="3" t="n">
        <v>20</v>
      </c>
      <c r="B19" s="6" t="s">
        <v>1097</v>
      </c>
      <c r="C19" s="6" t="s">
        <v>1098</v>
      </c>
      <c r="D19" s="7" t="n">
        <v>1488</v>
      </c>
      <c r="E19" s="7" t="n">
        <v>904</v>
      </c>
      <c r="F19" s="8" t="n">
        <f aca="false">IF(D19=0,"",E19/D19)</f>
        <v>0.60752688172043</v>
      </c>
      <c r="G19" s="3" t="n">
        <v>37</v>
      </c>
      <c r="H19" s="6" t="s">
        <v>1099</v>
      </c>
      <c r="I19" s="6"/>
      <c r="J19" s="6" t="s">
        <v>103</v>
      </c>
    </row>
    <row r="20" customFormat="false" ht="15" hidden="false" customHeight="false" outlineLevel="0" collapsed="false">
      <c r="A20" s="3" t="n">
        <v>21</v>
      </c>
      <c r="B20" s="6" t="s">
        <v>380</v>
      </c>
      <c r="C20" s="6" t="s">
        <v>1100</v>
      </c>
      <c r="D20" s="7" t="n">
        <v>11894</v>
      </c>
      <c r="E20" s="7" t="n">
        <v>8536</v>
      </c>
      <c r="F20" s="8" t="n">
        <f aca="false">IF(D20=0,"",E20/D20)</f>
        <v>0.717672776189676</v>
      </c>
      <c r="G20" s="3" t="n">
        <v>63</v>
      </c>
      <c r="H20" s="6" t="s">
        <v>1101</v>
      </c>
      <c r="I20" s="6"/>
      <c r="J20" s="6" t="s">
        <v>103</v>
      </c>
    </row>
    <row r="21" customFormat="false" ht="15" hidden="false" customHeight="false" outlineLevel="0" collapsed="false">
      <c r="A21" s="3" t="n">
        <v>22</v>
      </c>
      <c r="B21" s="6" t="s">
        <v>1102</v>
      </c>
      <c r="C21" s="6" t="s">
        <v>1103</v>
      </c>
      <c r="D21" s="7" t="n">
        <v>14</v>
      </c>
      <c r="E21" s="7" t="n">
        <v>1</v>
      </c>
      <c r="F21" s="8" t="n">
        <f aca="false">IF(D21=0,"",E21/D21)</f>
        <v>0.0714285714285714</v>
      </c>
      <c r="G21" s="3" t="n">
        <v>6</v>
      </c>
      <c r="H21" s="6" t="s">
        <v>1104</v>
      </c>
      <c r="I21" s="6"/>
      <c r="J21" s="6" t="s">
        <v>103</v>
      </c>
    </row>
    <row r="22" customFormat="false" ht="15" hidden="false" customHeight="false" outlineLevel="0" collapsed="false">
      <c r="A22" s="3" t="n">
        <v>23</v>
      </c>
      <c r="B22" s="6" t="s">
        <v>1105</v>
      </c>
      <c r="C22" s="6" t="s">
        <v>1106</v>
      </c>
      <c r="D22" s="7" t="n">
        <v>2023</v>
      </c>
      <c r="E22" s="7" t="n">
        <v>506</v>
      </c>
      <c r="F22" s="8" t="n">
        <f aca="false">IF(D22=0,"",E22/D22)</f>
        <v>0.250123578843302</v>
      </c>
      <c r="G22" s="3" t="n">
        <v>19</v>
      </c>
      <c r="H22" s="6" t="s">
        <v>1107</v>
      </c>
      <c r="I22" s="6" t="s">
        <v>1108</v>
      </c>
      <c r="J22" s="6" t="s">
        <v>103</v>
      </c>
    </row>
    <row r="23" customFormat="false" ht="15" hidden="false" customHeight="false" outlineLevel="0" collapsed="false">
      <c r="A23" s="3" t="n">
        <v>24</v>
      </c>
      <c r="B23" s="6" t="s">
        <v>1109</v>
      </c>
      <c r="C23" s="6" t="s">
        <v>1110</v>
      </c>
      <c r="D23" s="7" t="n">
        <v>181</v>
      </c>
      <c r="E23" s="7" t="n">
        <v>13</v>
      </c>
      <c r="F23" s="8" t="n">
        <f aca="false">IF(D23=0,"",E23/D23)</f>
        <v>0.0718232044198895</v>
      </c>
      <c r="G23" s="3" t="n">
        <v>15</v>
      </c>
      <c r="H23" s="6" t="s">
        <v>1111</v>
      </c>
      <c r="I23" s="6"/>
      <c r="J23" s="6" t="s">
        <v>103</v>
      </c>
    </row>
    <row r="24" customFormat="false" ht="23.85" hidden="false" customHeight="false" outlineLevel="0" collapsed="false">
      <c r="A24" s="3" t="n">
        <v>25</v>
      </c>
      <c r="B24" s="6" t="s">
        <v>1112</v>
      </c>
      <c r="C24" s="6" t="s">
        <v>1113</v>
      </c>
      <c r="D24" s="7" t="n">
        <v>118</v>
      </c>
      <c r="E24" s="7" t="n">
        <v>106</v>
      </c>
      <c r="F24" s="8" t="n">
        <f aca="false">IF(D24=0,"",E24/D24)</f>
        <v>0.898305084745763</v>
      </c>
      <c r="G24" s="3" t="n">
        <v>49</v>
      </c>
      <c r="H24" s="6" t="s">
        <v>1114</v>
      </c>
      <c r="I24" s="6"/>
      <c r="J24" s="6" t="s">
        <v>103</v>
      </c>
    </row>
    <row r="25" customFormat="false" ht="15" hidden="false" customHeight="false" outlineLevel="0" collapsed="false">
      <c r="A25" s="3" t="n">
        <v>26</v>
      </c>
      <c r="B25" s="6" t="s">
        <v>1115</v>
      </c>
      <c r="C25" s="6" t="s">
        <v>1116</v>
      </c>
      <c r="D25" s="7" t="n">
        <v>118</v>
      </c>
      <c r="E25" s="7" t="n">
        <v>109</v>
      </c>
      <c r="F25" s="8" t="n">
        <f aca="false">IF(D25=0,"",E25/D25)</f>
        <v>0.923728813559322</v>
      </c>
      <c r="G25" s="3" t="n">
        <v>24</v>
      </c>
      <c r="H25" s="6" t="s">
        <v>1117</v>
      </c>
      <c r="I25" s="6"/>
      <c r="J25" s="6" t="s">
        <v>103</v>
      </c>
    </row>
    <row r="26" customFormat="false" ht="15" hidden="false" customHeight="false" outlineLevel="0" collapsed="false">
      <c r="A26" s="3" t="n">
        <v>28</v>
      </c>
      <c r="B26" s="6" t="s">
        <v>1118</v>
      </c>
      <c r="C26" s="6" t="s">
        <v>1119</v>
      </c>
      <c r="D26" s="7" t="n">
        <v>2782</v>
      </c>
      <c r="E26" s="7" t="n">
        <v>1926</v>
      </c>
      <c r="F26" s="8" t="n">
        <f aca="false">IF(D26=0,"",E26/D26)</f>
        <v>0.692307692307692</v>
      </c>
      <c r="G26" s="3" t="n">
        <v>7</v>
      </c>
      <c r="H26" s="6" t="s">
        <v>1120</v>
      </c>
      <c r="I26" s="6"/>
      <c r="J26" s="6" t="s">
        <v>103</v>
      </c>
    </row>
    <row r="27" customFormat="false" ht="15" hidden="false" customHeight="false" outlineLevel="0" collapsed="false">
      <c r="A27" s="3" t="n">
        <v>29</v>
      </c>
      <c r="B27" s="6" t="s">
        <v>1121</v>
      </c>
      <c r="C27" s="6" t="s">
        <v>1122</v>
      </c>
      <c r="D27" s="7" t="n">
        <v>696</v>
      </c>
      <c r="E27" s="7" t="n">
        <v>392</v>
      </c>
      <c r="F27" s="8" t="n">
        <f aca="false">IF(D27=0,"",E27/D27)</f>
        <v>0.563218390804598</v>
      </c>
      <c r="G27" s="3" t="n">
        <v>16</v>
      </c>
      <c r="H27" s="6" t="s">
        <v>1123</v>
      </c>
      <c r="I27" s="6"/>
      <c r="J27" s="6" t="s">
        <v>103</v>
      </c>
    </row>
    <row r="28" customFormat="false" ht="15" hidden="false" customHeight="false" outlineLevel="0" collapsed="false">
      <c r="A28" s="3" t="n">
        <v>30</v>
      </c>
      <c r="B28" s="6" t="s">
        <v>1124</v>
      </c>
      <c r="C28" s="6" t="s">
        <v>1125</v>
      </c>
      <c r="D28" s="7" t="n">
        <v>656</v>
      </c>
      <c r="E28" s="7" t="n">
        <v>444</v>
      </c>
      <c r="F28" s="8" t="n">
        <f aca="false">IF(D28=0,"",E28/D28)</f>
        <v>0.676829268292683</v>
      </c>
      <c r="G28" s="3" t="n">
        <v>21</v>
      </c>
      <c r="H28" s="6" t="s">
        <v>1126</v>
      </c>
      <c r="I28" s="6"/>
      <c r="J28" s="6" t="s">
        <v>103</v>
      </c>
    </row>
    <row r="29" customFormat="false" ht="15" hidden="false" customHeight="false" outlineLevel="0" collapsed="false">
      <c r="A29" s="3" t="n">
        <v>31</v>
      </c>
      <c r="B29" s="6" t="s">
        <v>1127</v>
      </c>
      <c r="C29" s="6" t="s">
        <v>1128</v>
      </c>
      <c r="D29" s="7" t="n">
        <v>9222</v>
      </c>
      <c r="E29" s="7" t="n">
        <v>3559</v>
      </c>
      <c r="F29" s="8" t="n">
        <f aca="false">IF(D29=0,"",E29/D29)</f>
        <v>0.385924962047278</v>
      </c>
      <c r="G29" s="3" t="n">
        <v>49</v>
      </c>
      <c r="H29" s="6" t="s">
        <v>1129</v>
      </c>
      <c r="I29" s="6"/>
      <c r="J29" s="6" t="s">
        <v>103</v>
      </c>
    </row>
    <row r="30" customFormat="false" ht="15" hidden="false" customHeight="false" outlineLevel="0" collapsed="false">
      <c r="A30" s="3" t="n">
        <v>32</v>
      </c>
      <c r="B30" s="6" t="s">
        <v>1130</v>
      </c>
      <c r="C30" s="6" t="s">
        <v>1131</v>
      </c>
      <c r="D30" s="7" t="n">
        <v>1226</v>
      </c>
      <c r="E30" s="7" t="n">
        <v>929</v>
      </c>
      <c r="F30" s="8" t="n">
        <f aca="false">IF(D30=0,"",E30/D30)</f>
        <v>0.757748776508972</v>
      </c>
      <c r="G30" s="3" t="n">
        <v>32</v>
      </c>
      <c r="H30" s="6" t="s">
        <v>1132</v>
      </c>
      <c r="I30" s="6"/>
      <c r="J30" s="6" t="s">
        <v>103</v>
      </c>
    </row>
    <row r="31" customFormat="false" ht="15" hidden="false" customHeight="false" outlineLevel="0" collapsed="false">
      <c r="A31" s="3" t="n">
        <v>33</v>
      </c>
      <c r="B31" s="6" t="s">
        <v>1133</v>
      </c>
      <c r="C31" s="6" t="s">
        <v>1134</v>
      </c>
      <c r="D31" s="7" t="n">
        <v>9007</v>
      </c>
      <c r="E31" s="7" t="n">
        <v>7508</v>
      </c>
      <c r="F31" s="8" t="n">
        <f aca="false">IF(D31=0,"",E31/D31)</f>
        <v>0.833573886976796</v>
      </c>
      <c r="G31" s="3" t="n">
        <v>54</v>
      </c>
      <c r="H31" s="6" t="s">
        <v>1135</v>
      </c>
      <c r="I31" s="6"/>
      <c r="J31" s="6" t="s">
        <v>103</v>
      </c>
    </row>
    <row r="32" customFormat="false" ht="15" hidden="false" customHeight="false" outlineLevel="0" collapsed="false">
      <c r="A32" s="3" t="n">
        <v>34</v>
      </c>
      <c r="B32" s="6" t="s">
        <v>1136</v>
      </c>
      <c r="C32" s="6" t="s">
        <v>1137</v>
      </c>
      <c r="D32" s="7" t="n">
        <v>628</v>
      </c>
      <c r="E32" s="7" t="n">
        <v>373</v>
      </c>
      <c r="F32" s="8" t="n">
        <f aca="false">IF(D32=0,"",E32/D32)</f>
        <v>0.593949044585987</v>
      </c>
      <c r="G32" s="3" t="n">
        <v>5</v>
      </c>
      <c r="H32" s="6" t="s">
        <v>1138</v>
      </c>
      <c r="I32" s="6"/>
      <c r="J32" s="6" t="s">
        <v>103</v>
      </c>
    </row>
    <row r="33" customFormat="false" ht="35.05" hidden="false" customHeight="false" outlineLevel="0" collapsed="false">
      <c r="A33" s="3" t="n">
        <v>35</v>
      </c>
      <c r="B33" s="6" t="s">
        <v>1139</v>
      </c>
      <c r="C33" s="6" t="s">
        <v>1140</v>
      </c>
      <c r="D33" s="7" t="n">
        <v>559</v>
      </c>
      <c r="E33" s="7" t="n">
        <v>33</v>
      </c>
      <c r="F33" s="8" t="n">
        <f aca="false">IF(D33=0,"",E33/D33)</f>
        <v>0.0590339892665474</v>
      </c>
      <c r="G33" s="3" t="n">
        <v>61</v>
      </c>
      <c r="H33" s="6" t="s">
        <v>1141</v>
      </c>
      <c r="I33" s="6"/>
      <c r="J33" s="6" t="s">
        <v>103</v>
      </c>
    </row>
    <row r="34" customFormat="false" ht="15" hidden="false" customHeight="false" outlineLevel="0" collapsed="false">
      <c r="A34" s="3" t="n">
        <v>36</v>
      </c>
      <c r="B34" s="6" t="s">
        <v>1142</v>
      </c>
      <c r="C34" s="6" t="s">
        <v>1143</v>
      </c>
      <c r="D34" s="7" t="n">
        <v>1320</v>
      </c>
      <c r="E34" s="7" t="n">
        <v>115</v>
      </c>
      <c r="F34" s="8" t="n">
        <f aca="false">IF(D34=0,"",E34/D34)</f>
        <v>0.0871212121212121</v>
      </c>
      <c r="G34" s="3" t="n">
        <v>31</v>
      </c>
      <c r="H34" s="6" t="s">
        <v>1144</v>
      </c>
      <c r="I34" s="6"/>
      <c r="J34" s="6" t="s">
        <v>103</v>
      </c>
    </row>
    <row r="35" customFormat="false" ht="15" hidden="false" customHeight="false" outlineLevel="0" collapsed="false">
      <c r="A35" s="3" t="n">
        <v>37</v>
      </c>
      <c r="B35" s="6" t="s">
        <v>1145</v>
      </c>
      <c r="C35" s="6" t="s">
        <v>1146</v>
      </c>
      <c r="D35" s="7" t="n">
        <v>3871</v>
      </c>
      <c r="E35" s="7" t="n">
        <v>1409</v>
      </c>
      <c r="F35" s="8" t="n">
        <f aca="false">IF(D35=0,"",E35/D35)</f>
        <v>0.363988633428055</v>
      </c>
      <c r="G35" s="3" t="n">
        <v>24</v>
      </c>
      <c r="H35" s="6" t="s">
        <v>1147</v>
      </c>
      <c r="I35" s="6"/>
      <c r="J35" s="6" t="s">
        <v>103</v>
      </c>
    </row>
    <row r="36" customFormat="false" ht="23.85" hidden="false" customHeight="false" outlineLevel="0" collapsed="false">
      <c r="A36" s="3" t="n">
        <v>38</v>
      </c>
      <c r="B36" s="6" t="s">
        <v>1148</v>
      </c>
      <c r="C36" s="6" t="s">
        <v>1149</v>
      </c>
      <c r="D36" s="7" t="n">
        <v>118</v>
      </c>
      <c r="E36" s="7" t="n">
        <v>110</v>
      </c>
      <c r="F36" s="8" t="n">
        <f aca="false">IF(D36=0,"",E36/D36)</f>
        <v>0.932203389830508</v>
      </c>
      <c r="G36" s="3" t="n">
        <v>32</v>
      </c>
      <c r="H36" s="6" t="s">
        <v>1150</v>
      </c>
      <c r="I36" s="6"/>
      <c r="J36" s="6" t="s">
        <v>103</v>
      </c>
    </row>
    <row r="37" customFormat="false" ht="15" hidden="false" customHeight="false" outlineLevel="0" collapsed="false">
      <c r="A37" s="3" t="n">
        <v>39</v>
      </c>
      <c r="B37" s="6" t="s">
        <v>1151</v>
      </c>
      <c r="C37" s="6" t="s">
        <v>1152</v>
      </c>
      <c r="D37" s="7" t="n">
        <v>2296</v>
      </c>
      <c r="E37" s="7" t="n">
        <v>1217</v>
      </c>
      <c r="F37" s="8" t="n">
        <f aca="false">IF(D37=0,"",E37/D37)</f>
        <v>0.530052264808362</v>
      </c>
      <c r="G37" s="3" t="n">
        <v>30</v>
      </c>
      <c r="H37" s="6" t="s">
        <v>1153</v>
      </c>
      <c r="I37" s="6"/>
      <c r="J37" s="6" t="s">
        <v>103</v>
      </c>
    </row>
    <row r="38" customFormat="false" ht="15" hidden="false" customHeight="false" outlineLevel="0" collapsed="false">
      <c r="A38" s="3" t="n">
        <v>40</v>
      </c>
      <c r="B38" s="6" t="s">
        <v>838</v>
      </c>
      <c r="C38" s="6" t="s">
        <v>1154</v>
      </c>
      <c r="D38" s="7" t="n">
        <v>447</v>
      </c>
      <c r="E38" s="7" t="n">
        <v>183</v>
      </c>
      <c r="F38" s="8" t="n">
        <f aca="false">IF(D38=0,"",E38/D38)</f>
        <v>0.409395973154362</v>
      </c>
      <c r="G38" s="3" t="n">
        <v>13</v>
      </c>
      <c r="H38" s="6" t="s">
        <v>1155</v>
      </c>
      <c r="I38" s="6" t="s">
        <v>1156</v>
      </c>
      <c r="J38" s="6" t="s">
        <v>247</v>
      </c>
    </row>
  </sheetData>
  <autoFilter ref="A1:J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60"/>
  </cols>
  <sheetData>
    <row r="1" customFormat="false" ht="30" hidden="false" customHeight="true" outlineLevel="0" collapsed="false">
      <c r="A1" s="13" t="s">
        <v>1157</v>
      </c>
      <c r="B1" s="13" t="s">
        <v>1158</v>
      </c>
      <c r="C1" s="13" t="s">
        <v>1159</v>
      </c>
      <c r="D1" s="13" t="s">
        <v>1160</v>
      </c>
    </row>
    <row r="2" customFormat="false" ht="15" hidden="false" customHeight="false" outlineLevel="0" collapsed="false">
      <c r="A2" s="14" t="s">
        <v>124</v>
      </c>
      <c r="B2" s="15" t="n">
        <v>1</v>
      </c>
      <c r="C2" s="15" t="n">
        <v>0</v>
      </c>
      <c r="D2" s="14" t="s">
        <v>1161</v>
      </c>
    </row>
    <row r="3" customFormat="false" ht="15" hidden="false" customHeight="false" outlineLevel="0" collapsed="false">
      <c r="A3" s="14" t="s">
        <v>124</v>
      </c>
      <c r="B3" s="15" t="n">
        <v>2</v>
      </c>
      <c r="C3" s="15" t="n">
        <v>1</v>
      </c>
      <c r="D3" s="14" t="s">
        <v>1162</v>
      </c>
    </row>
    <row r="4" customFormat="false" ht="15" hidden="false" customHeight="false" outlineLevel="0" collapsed="false">
      <c r="A4" s="14" t="s">
        <v>124</v>
      </c>
      <c r="B4" s="15" t="n">
        <v>3</v>
      </c>
      <c r="C4" s="15" t="n">
        <v>1</v>
      </c>
      <c r="D4" s="14" t="s">
        <v>1163</v>
      </c>
    </row>
    <row r="5" customFormat="false" ht="15" hidden="false" customHeight="false" outlineLevel="0" collapsed="false">
      <c r="A5" s="14" t="s">
        <v>124</v>
      </c>
      <c r="B5" s="15" t="n">
        <v>4</v>
      </c>
      <c r="C5" s="15" t="n">
        <v>1</v>
      </c>
      <c r="D5" s="14" t="s">
        <v>1164</v>
      </c>
    </row>
    <row r="6" customFormat="false" ht="15" hidden="false" customHeight="false" outlineLevel="0" collapsed="false">
      <c r="A6" s="14" t="s">
        <v>124</v>
      </c>
      <c r="B6" s="15" t="n">
        <v>5</v>
      </c>
      <c r="C6" s="15" t="n">
        <v>1</v>
      </c>
      <c r="D6" s="14" t="s">
        <v>1165</v>
      </c>
    </row>
    <row r="7" customFormat="false" ht="15" hidden="false" customHeight="false" outlineLevel="0" collapsed="false">
      <c r="A7" s="14" t="s">
        <v>124</v>
      </c>
      <c r="B7" s="15" t="n">
        <v>6</v>
      </c>
      <c r="C7" s="15" t="n">
        <v>1</v>
      </c>
      <c r="D7" s="14" t="s">
        <v>1166</v>
      </c>
    </row>
    <row r="8" customFormat="false" ht="15" hidden="false" customHeight="false" outlineLevel="0" collapsed="false">
      <c r="A8" s="14" t="s">
        <v>124</v>
      </c>
      <c r="B8" s="15" t="n">
        <v>7</v>
      </c>
      <c r="C8" s="15" t="n">
        <v>1</v>
      </c>
      <c r="D8" s="14" t="s">
        <v>1167</v>
      </c>
    </row>
    <row r="9" customFormat="false" ht="15" hidden="false" customHeight="false" outlineLevel="0" collapsed="false">
      <c r="A9" s="14" t="s">
        <v>124</v>
      </c>
      <c r="B9" s="15" t="n">
        <v>8</v>
      </c>
      <c r="C9" s="15" t="n">
        <v>1</v>
      </c>
      <c r="D9" s="14" t="s">
        <v>1168</v>
      </c>
    </row>
    <row r="10" customFormat="false" ht="15" hidden="false" customHeight="false" outlineLevel="0" collapsed="false">
      <c r="A10" s="14" t="s">
        <v>124</v>
      </c>
      <c r="B10" s="15" t="n">
        <v>9</v>
      </c>
      <c r="C10" s="15" t="n">
        <v>1</v>
      </c>
      <c r="D10" s="14" t="s">
        <v>1169</v>
      </c>
    </row>
    <row r="11" customFormat="false" ht="15" hidden="false" customHeight="false" outlineLevel="0" collapsed="false">
      <c r="A11" s="14" t="s">
        <v>124</v>
      </c>
      <c r="B11" s="15" t="n">
        <v>10</v>
      </c>
      <c r="C11" s="15" t="n">
        <v>1</v>
      </c>
      <c r="D11" s="14" t="s">
        <v>1170</v>
      </c>
    </row>
    <row r="12" customFormat="false" ht="15" hidden="false" customHeight="false" outlineLevel="0" collapsed="false">
      <c r="A12" s="14" t="s">
        <v>124</v>
      </c>
      <c r="B12" s="15" t="n">
        <v>11</v>
      </c>
      <c r="C12" s="15" t="n">
        <v>1</v>
      </c>
      <c r="D12" s="14" t="s">
        <v>1171</v>
      </c>
    </row>
    <row r="13" customFormat="false" ht="15" hidden="false" customHeight="false" outlineLevel="0" collapsed="false">
      <c r="A13" s="14" t="s">
        <v>124</v>
      </c>
      <c r="B13" s="15" t="n">
        <v>12</v>
      </c>
      <c r="C13" s="15" t="n">
        <v>1</v>
      </c>
      <c r="D13" s="14" t="s">
        <v>1172</v>
      </c>
    </row>
    <row r="14" customFormat="false" ht="15" hidden="false" customHeight="false" outlineLevel="0" collapsed="false">
      <c r="A14" s="14" t="s">
        <v>124</v>
      </c>
      <c r="B14" s="15" t="n">
        <v>13</v>
      </c>
      <c r="C14" s="15" t="n">
        <v>1</v>
      </c>
      <c r="D14" s="14" t="s">
        <v>1173</v>
      </c>
    </row>
    <row r="15" customFormat="false" ht="15" hidden="false" customHeight="false" outlineLevel="0" collapsed="false">
      <c r="A15" s="14" t="s">
        <v>124</v>
      </c>
      <c r="B15" s="15" t="n">
        <v>14</v>
      </c>
      <c r="C15" s="15" t="n">
        <v>1</v>
      </c>
      <c r="D15" s="14" t="s">
        <v>1174</v>
      </c>
    </row>
    <row r="16" customFormat="false" ht="15" hidden="false" customHeight="false" outlineLevel="0" collapsed="false">
      <c r="A16" s="14" t="s">
        <v>124</v>
      </c>
      <c r="B16" s="15" t="n">
        <v>15</v>
      </c>
      <c r="C16" s="15" t="n">
        <v>1</v>
      </c>
      <c r="D16" s="14" t="s">
        <v>1175</v>
      </c>
    </row>
    <row r="17" customFormat="false" ht="15" hidden="false" customHeight="false" outlineLevel="0" collapsed="false">
      <c r="A17" s="14" t="s">
        <v>124</v>
      </c>
      <c r="B17" s="15" t="n">
        <v>16</v>
      </c>
      <c r="C17" s="15" t="n">
        <v>1</v>
      </c>
      <c r="D17" s="14" t="s">
        <v>1176</v>
      </c>
    </row>
    <row r="18" customFormat="false" ht="15" hidden="false" customHeight="false" outlineLevel="0" collapsed="false">
      <c r="A18" s="14" t="s">
        <v>124</v>
      </c>
      <c r="B18" s="15" t="n">
        <v>17</v>
      </c>
      <c r="C18" s="15" t="n">
        <v>1</v>
      </c>
      <c r="D18" s="14" t="s">
        <v>1177</v>
      </c>
    </row>
    <row r="19" customFormat="false" ht="15" hidden="false" customHeight="false" outlineLevel="0" collapsed="false">
      <c r="A19" s="14" t="s">
        <v>124</v>
      </c>
      <c r="B19" s="15" t="n">
        <v>18</v>
      </c>
      <c r="C19" s="15" t="n">
        <v>1</v>
      </c>
      <c r="D19" s="14" t="s">
        <v>1178</v>
      </c>
    </row>
    <row r="20" customFormat="false" ht="15" hidden="false" customHeight="false" outlineLevel="0" collapsed="false">
      <c r="A20" s="14" t="s">
        <v>124</v>
      </c>
      <c r="B20" s="15" t="n">
        <v>19</v>
      </c>
      <c r="C20" s="15" t="n">
        <v>1</v>
      </c>
      <c r="D20" s="14" t="s">
        <v>1179</v>
      </c>
    </row>
    <row r="21" customFormat="false" ht="15" hidden="false" customHeight="false" outlineLevel="0" collapsed="false">
      <c r="A21" s="14" t="s">
        <v>124</v>
      </c>
      <c r="B21" s="15" t="n">
        <v>20</v>
      </c>
      <c r="C21" s="15" t="n">
        <v>1</v>
      </c>
      <c r="D21" s="14" t="s">
        <v>1180</v>
      </c>
    </row>
    <row r="22" customFormat="false" ht="15" hidden="false" customHeight="false" outlineLevel="0" collapsed="false">
      <c r="A22" s="14" t="s">
        <v>124</v>
      </c>
      <c r="B22" s="15" t="n">
        <v>21</v>
      </c>
      <c r="C22" s="15" t="n">
        <v>1</v>
      </c>
      <c r="D22" s="14" t="s">
        <v>1181</v>
      </c>
    </row>
    <row r="23" customFormat="false" ht="15" hidden="false" customHeight="false" outlineLevel="0" collapsed="false">
      <c r="A23" s="14" t="s">
        <v>124</v>
      </c>
      <c r="B23" s="15" t="n">
        <v>22</v>
      </c>
      <c r="C23" s="15" t="n">
        <v>1</v>
      </c>
      <c r="D23" s="14" t="s">
        <v>1182</v>
      </c>
    </row>
    <row r="24" customFormat="false" ht="15" hidden="false" customHeight="false" outlineLevel="0" collapsed="false">
      <c r="A24" s="14" t="s">
        <v>124</v>
      </c>
      <c r="B24" s="15" t="n">
        <v>23</v>
      </c>
      <c r="C24" s="15" t="n">
        <v>1</v>
      </c>
      <c r="D24" s="14" t="s">
        <v>1183</v>
      </c>
    </row>
    <row r="25" customFormat="false" ht="15" hidden="false" customHeight="false" outlineLevel="0" collapsed="false">
      <c r="A25" s="14" t="s">
        <v>124</v>
      </c>
      <c r="B25" s="15" t="n">
        <v>24</v>
      </c>
      <c r="C25" s="15" t="n">
        <v>1</v>
      </c>
      <c r="D25" s="14" t="s">
        <v>1184</v>
      </c>
    </row>
    <row r="26" customFormat="false" ht="15" hidden="false" customHeight="false" outlineLevel="0" collapsed="false">
      <c r="A26" s="14" t="s">
        <v>124</v>
      </c>
      <c r="B26" s="15" t="n">
        <v>25</v>
      </c>
      <c r="C26" s="15" t="n">
        <v>1</v>
      </c>
      <c r="D26" s="14" t="s">
        <v>1185</v>
      </c>
    </row>
    <row r="27" customFormat="false" ht="15" hidden="false" customHeight="false" outlineLevel="0" collapsed="false">
      <c r="A27" s="14" t="s">
        <v>124</v>
      </c>
      <c r="B27" s="15" t="n">
        <v>26</v>
      </c>
      <c r="C27" s="15" t="n">
        <v>2</v>
      </c>
      <c r="D27" s="14" t="s">
        <v>1186</v>
      </c>
    </row>
    <row r="28" customFormat="false" ht="15" hidden="false" customHeight="false" outlineLevel="0" collapsed="false">
      <c r="A28" s="14" t="s">
        <v>124</v>
      </c>
      <c r="B28" s="15" t="n">
        <v>27</v>
      </c>
      <c r="C28" s="15" t="n">
        <v>2</v>
      </c>
      <c r="D28" s="14" t="s">
        <v>1187</v>
      </c>
    </row>
    <row r="29" customFormat="false" ht="15" hidden="false" customHeight="false" outlineLevel="0" collapsed="false">
      <c r="A29" s="14" t="s">
        <v>124</v>
      </c>
      <c r="B29" s="15" t="n">
        <v>28</v>
      </c>
      <c r="C29" s="15" t="n">
        <v>2</v>
      </c>
      <c r="D29" s="14" t="s">
        <v>1188</v>
      </c>
    </row>
    <row r="30" customFormat="false" ht="15" hidden="false" customHeight="false" outlineLevel="0" collapsed="false">
      <c r="A30" s="14" t="s">
        <v>124</v>
      </c>
      <c r="B30" s="15" t="n">
        <v>29</v>
      </c>
      <c r="C30" s="15" t="n">
        <v>2</v>
      </c>
      <c r="D30" s="14" t="s">
        <v>1189</v>
      </c>
    </row>
    <row r="31" customFormat="false" ht="15" hidden="false" customHeight="false" outlineLevel="0" collapsed="false">
      <c r="A31" s="14" t="s">
        <v>124</v>
      </c>
      <c r="B31" s="15" t="n">
        <v>30</v>
      </c>
      <c r="C31" s="15" t="n">
        <v>2</v>
      </c>
      <c r="D31" s="14" t="s">
        <v>1190</v>
      </c>
    </row>
    <row r="32" customFormat="false" ht="15" hidden="false" customHeight="false" outlineLevel="0" collapsed="false">
      <c r="A32" s="14" t="s">
        <v>124</v>
      </c>
      <c r="B32" s="15" t="n">
        <v>31</v>
      </c>
      <c r="C32" s="15" t="n">
        <v>2</v>
      </c>
      <c r="D32" s="14" t="s">
        <v>1191</v>
      </c>
    </row>
    <row r="33" customFormat="false" ht="15" hidden="false" customHeight="false" outlineLevel="0" collapsed="false">
      <c r="A33" s="14" t="s">
        <v>124</v>
      </c>
      <c r="B33" s="15" t="n">
        <v>32</v>
      </c>
      <c r="C33" s="15" t="n">
        <v>2</v>
      </c>
      <c r="D33" s="14" t="s">
        <v>1192</v>
      </c>
    </row>
    <row r="34" customFormat="false" ht="15" hidden="false" customHeight="false" outlineLevel="0" collapsed="false">
      <c r="A34" s="14" t="s">
        <v>124</v>
      </c>
      <c r="B34" s="15" t="n">
        <v>33</v>
      </c>
      <c r="C34" s="15" t="n">
        <v>1</v>
      </c>
      <c r="D34" s="14" t="s">
        <v>1193</v>
      </c>
    </row>
    <row r="35" customFormat="false" ht="15" hidden="false" customHeight="false" outlineLevel="0" collapsed="false">
      <c r="A35" s="14" t="s">
        <v>124</v>
      </c>
      <c r="B35" s="15" t="n">
        <v>34</v>
      </c>
      <c r="C35" s="15" t="n">
        <v>1</v>
      </c>
      <c r="D35" s="14" t="s">
        <v>1194</v>
      </c>
    </row>
    <row r="36" customFormat="false" ht="15" hidden="false" customHeight="false" outlineLevel="0" collapsed="false">
      <c r="A36" s="14" t="s">
        <v>124</v>
      </c>
      <c r="B36" s="15" t="n">
        <v>35</v>
      </c>
      <c r="C36" s="15" t="n">
        <v>1</v>
      </c>
      <c r="D36" s="14" t="s">
        <v>1195</v>
      </c>
    </row>
    <row r="37" customFormat="false" ht="15" hidden="false" customHeight="false" outlineLevel="0" collapsed="false">
      <c r="A37" s="14" t="s">
        <v>124</v>
      </c>
      <c r="B37" s="15" t="n">
        <v>36</v>
      </c>
      <c r="C37" s="15" t="n">
        <v>1</v>
      </c>
      <c r="D37" s="14" t="s">
        <v>1196</v>
      </c>
    </row>
    <row r="38" customFormat="false" ht="15" hidden="false" customHeight="false" outlineLevel="0" collapsed="false">
      <c r="A38" s="14" t="s">
        <v>124</v>
      </c>
      <c r="B38" s="15" t="n">
        <v>37</v>
      </c>
      <c r="C38" s="15" t="n">
        <v>1</v>
      </c>
      <c r="D38" s="14" t="s">
        <v>1197</v>
      </c>
    </row>
    <row r="39" customFormat="false" ht="15" hidden="false" customHeight="false" outlineLevel="0" collapsed="false">
      <c r="A39" s="14" t="s">
        <v>124</v>
      </c>
      <c r="B39" s="15" t="n">
        <v>38</v>
      </c>
      <c r="C39" s="15" t="n">
        <v>2</v>
      </c>
      <c r="D39" s="14" t="s">
        <v>1198</v>
      </c>
    </row>
    <row r="40" customFormat="false" ht="15" hidden="false" customHeight="false" outlineLevel="0" collapsed="false">
      <c r="A40" s="14" t="s">
        <v>124</v>
      </c>
      <c r="B40" s="15" t="n">
        <v>39</v>
      </c>
      <c r="C40" s="15" t="n">
        <v>2</v>
      </c>
      <c r="D40" s="14" t="s">
        <v>1199</v>
      </c>
    </row>
    <row r="41" customFormat="false" ht="15" hidden="false" customHeight="false" outlineLevel="0" collapsed="false">
      <c r="A41" s="14" t="s">
        <v>124</v>
      </c>
      <c r="B41" s="15" t="n">
        <v>40</v>
      </c>
      <c r="C41" s="15" t="n">
        <v>2</v>
      </c>
      <c r="D41" s="14" t="s">
        <v>1200</v>
      </c>
    </row>
    <row r="42" customFormat="false" ht="15" hidden="false" customHeight="false" outlineLevel="0" collapsed="false">
      <c r="A42" s="14" t="s">
        <v>124</v>
      </c>
      <c r="B42" s="15" t="n">
        <v>41</v>
      </c>
      <c r="C42" s="15" t="n">
        <v>2</v>
      </c>
      <c r="D42" s="14" t="s">
        <v>1201</v>
      </c>
    </row>
    <row r="43" customFormat="false" ht="15" hidden="false" customHeight="false" outlineLevel="0" collapsed="false">
      <c r="A43" s="14" t="s">
        <v>124</v>
      </c>
      <c r="B43" s="15" t="n">
        <v>42</v>
      </c>
      <c r="C43" s="15" t="n">
        <v>2</v>
      </c>
      <c r="D43" s="14" t="s">
        <v>1202</v>
      </c>
    </row>
    <row r="44" customFormat="false" ht="15" hidden="false" customHeight="false" outlineLevel="0" collapsed="false">
      <c r="A44" s="14" t="s">
        <v>124</v>
      </c>
      <c r="B44" s="15" t="n">
        <v>43</v>
      </c>
      <c r="C44" s="15" t="n">
        <v>2</v>
      </c>
      <c r="D44" s="14" t="s">
        <v>1203</v>
      </c>
    </row>
    <row r="45" customFormat="false" ht="15" hidden="false" customHeight="false" outlineLevel="0" collapsed="false">
      <c r="A45" s="14" t="s">
        <v>124</v>
      </c>
      <c r="B45" s="15" t="n">
        <v>44</v>
      </c>
      <c r="C45" s="15" t="n">
        <v>2</v>
      </c>
      <c r="D45" s="14" t="s">
        <v>1204</v>
      </c>
    </row>
    <row r="46" customFormat="false" ht="15" hidden="false" customHeight="false" outlineLevel="0" collapsed="false">
      <c r="A46" s="14" t="s">
        <v>124</v>
      </c>
      <c r="B46" s="15" t="n">
        <v>45</v>
      </c>
      <c r="C46" s="15" t="n">
        <v>2</v>
      </c>
      <c r="D46" s="14" t="s">
        <v>1205</v>
      </c>
    </row>
    <row r="47" customFormat="false" ht="15" hidden="false" customHeight="false" outlineLevel="0" collapsed="false">
      <c r="A47" s="14" t="s">
        <v>124</v>
      </c>
      <c r="B47" s="15" t="n">
        <v>46</v>
      </c>
      <c r="C47" s="15" t="n">
        <v>2</v>
      </c>
      <c r="D47" s="14" t="s">
        <v>1206</v>
      </c>
    </row>
    <row r="48" customFormat="false" ht="15" hidden="false" customHeight="false" outlineLevel="0" collapsed="false">
      <c r="A48" s="14" t="s">
        <v>124</v>
      </c>
      <c r="B48" s="15" t="n">
        <v>47</v>
      </c>
      <c r="C48" s="15" t="n">
        <v>1</v>
      </c>
      <c r="D48" s="14" t="s">
        <v>1207</v>
      </c>
    </row>
    <row r="49" customFormat="false" ht="15" hidden="false" customHeight="false" outlineLevel="0" collapsed="false">
      <c r="A49" s="14" t="s">
        <v>124</v>
      </c>
      <c r="B49" s="15" t="n">
        <v>48</v>
      </c>
      <c r="C49" s="15" t="n">
        <v>1</v>
      </c>
      <c r="D49" s="14" t="s">
        <v>1208</v>
      </c>
    </row>
    <row r="50" customFormat="false" ht="15" hidden="false" customHeight="false" outlineLevel="0" collapsed="false">
      <c r="A50" s="14" t="s">
        <v>124</v>
      </c>
      <c r="B50" s="15" t="n">
        <v>49</v>
      </c>
      <c r="C50" s="15" t="n">
        <v>1</v>
      </c>
      <c r="D50" s="14" t="s">
        <v>1209</v>
      </c>
    </row>
    <row r="51" customFormat="false" ht="15" hidden="false" customHeight="false" outlineLevel="0" collapsed="false">
      <c r="A51" s="14" t="s">
        <v>124</v>
      </c>
      <c r="B51" s="15" t="n">
        <v>50</v>
      </c>
      <c r="C51" s="15" t="n">
        <v>1</v>
      </c>
      <c r="D51" s="14" t="s">
        <v>1210</v>
      </c>
    </row>
    <row r="52" customFormat="false" ht="15" hidden="false" customHeight="false" outlineLevel="0" collapsed="false">
      <c r="A52" s="14" t="s">
        <v>124</v>
      </c>
      <c r="B52" s="15" t="n">
        <v>51</v>
      </c>
      <c r="C52" s="15" t="n">
        <v>1</v>
      </c>
      <c r="D52" s="14" t="s">
        <v>1211</v>
      </c>
    </row>
    <row r="53" customFormat="false" ht="15" hidden="false" customHeight="false" outlineLevel="0" collapsed="false">
      <c r="A53" s="14" t="s">
        <v>124</v>
      </c>
      <c r="B53" s="15" t="n">
        <v>52</v>
      </c>
      <c r="C53" s="15" t="n">
        <v>1</v>
      </c>
      <c r="D53" s="14" t="s">
        <v>1212</v>
      </c>
    </row>
    <row r="54" customFormat="false" ht="15" hidden="false" customHeight="false" outlineLevel="0" collapsed="false">
      <c r="A54" s="14" t="s">
        <v>124</v>
      </c>
      <c r="B54" s="15" t="n">
        <v>53</v>
      </c>
      <c r="C54" s="15" t="n">
        <v>1</v>
      </c>
      <c r="D54" s="14" t="s">
        <v>1213</v>
      </c>
    </row>
    <row r="55" customFormat="false" ht="15" hidden="false" customHeight="false" outlineLevel="0" collapsed="false">
      <c r="A55" s="14" t="s">
        <v>124</v>
      </c>
      <c r="B55" s="15" t="n">
        <v>54</v>
      </c>
      <c r="C55" s="15" t="n">
        <v>1</v>
      </c>
      <c r="D55" s="14" t="s">
        <v>1214</v>
      </c>
    </row>
    <row r="56" customFormat="false" ht="15" hidden="false" customHeight="false" outlineLevel="0" collapsed="false">
      <c r="A56" s="14" t="s">
        <v>124</v>
      </c>
      <c r="B56" s="15" t="n">
        <v>55</v>
      </c>
      <c r="C56" s="15" t="n">
        <v>1</v>
      </c>
      <c r="D56" s="14" t="s">
        <v>1215</v>
      </c>
    </row>
    <row r="57" customFormat="false" ht="15" hidden="false" customHeight="false" outlineLevel="0" collapsed="false">
      <c r="A57" s="14" t="s">
        <v>124</v>
      </c>
      <c r="B57" s="15" t="n">
        <v>56</v>
      </c>
      <c r="C57" s="15" t="n">
        <v>1</v>
      </c>
      <c r="D57" s="14" t="s">
        <v>1216</v>
      </c>
    </row>
    <row r="58" customFormat="false" ht="15" hidden="false" customHeight="false" outlineLevel="0" collapsed="false">
      <c r="A58" s="14" t="s">
        <v>124</v>
      </c>
      <c r="B58" s="15" t="n">
        <v>57</v>
      </c>
      <c r="C58" s="15" t="n">
        <v>1</v>
      </c>
      <c r="D58" s="14" t="s">
        <v>1217</v>
      </c>
    </row>
    <row r="59" customFormat="false" ht="15" hidden="false" customHeight="false" outlineLevel="0" collapsed="false">
      <c r="A59" s="14" t="s">
        <v>124</v>
      </c>
      <c r="B59" s="15" t="n">
        <v>58</v>
      </c>
      <c r="C59" s="15" t="n">
        <v>0</v>
      </c>
      <c r="D59" s="14" t="s">
        <v>1218</v>
      </c>
    </row>
    <row r="60" customFormat="false" ht="15" hidden="false" customHeight="false" outlineLevel="0" collapsed="false">
      <c r="A60" s="14" t="s">
        <v>1219</v>
      </c>
      <c r="B60" s="15" t="n">
        <v>1</v>
      </c>
      <c r="C60" s="15" t="n">
        <v>0</v>
      </c>
      <c r="D60" s="14" t="s">
        <v>1161</v>
      </c>
    </row>
    <row r="61" customFormat="false" ht="15" hidden="false" customHeight="false" outlineLevel="0" collapsed="false">
      <c r="A61" s="14" t="s">
        <v>1219</v>
      </c>
      <c r="B61" s="15" t="n">
        <v>2</v>
      </c>
      <c r="C61" s="15" t="n">
        <v>1</v>
      </c>
      <c r="D61" s="14" t="s">
        <v>1220</v>
      </c>
    </row>
    <row r="62" customFormat="false" ht="15" hidden="false" customHeight="false" outlineLevel="0" collapsed="false">
      <c r="A62" s="14" t="s">
        <v>1219</v>
      </c>
      <c r="B62" s="15" t="n">
        <v>3</v>
      </c>
      <c r="C62" s="15" t="n">
        <v>1</v>
      </c>
      <c r="D62" s="14" t="s">
        <v>1221</v>
      </c>
    </row>
    <row r="63" customFormat="false" ht="15" hidden="false" customHeight="false" outlineLevel="0" collapsed="false">
      <c r="A63" s="14" t="s">
        <v>1219</v>
      </c>
      <c r="B63" s="15" t="n">
        <v>4</v>
      </c>
      <c r="C63" s="15" t="n">
        <v>1</v>
      </c>
      <c r="D63" s="14" t="s">
        <v>1222</v>
      </c>
    </row>
    <row r="64" customFormat="false" ht="15" hidden="false" customHeight="false" outlineLevel="0" collapsed="false">
      <c r="A64" s="14" t="s">
        <v>1219</v>
      </c>
      <c r="B64" s="15" t="n">
        <v>5</v>
      </c>
      <c r="C64" s="15" t="n">
        <v>1</v>
      </c>
      <c r="D64" s="14" t="s">
        <v>1223</v>
      </c>
    </row>
    <row r="65" customFormat="false" ht="15" hidden="false" customHeight="false" outlineLevel="0" collapsed="false">
      <c r="A65" s="14" t="s">
        <v>1219</v>
      </c>
      <c r="B65" s="15" t="n">
        <v>6</v>
      </c>
      <c r="C65" s="15" t="n">
        <v>1</v>
      </c>
      <c r="D65" s="14" t="s">
        <v>1224</v>
      </c>
    </row>
    <row r="66" customFormat="false" ht="15" hidden="false" customHeight="false" outlineLevel="0" collapsed="false">
      <c r="A66" s="14" t="s">
        <v>1219</v>
      </c>
      <c r="B66" s="15" t="n">
        <v>7</v>
      </c>
      <c r="C66" s="15" t="n">
        <v>1</v>
      </c>
      <c r="D66" s="14" t="s">
        <v>1225</v>
      </c>
    </row>
    <row r="67" customFormat="false" ht="15" hidden="false" customHeight="false" outlineLevel="0" collapsed="false">
      <c r="A67" s="14" t="s">
        <v>1219</v>
      </c>
      <c r="B67" s="15" t="n">
        <v>8</v>
      </c>
      <c r="C67" s="15" t="n">
        <v>1</v>
      </c>
      <c r="D67" s="14" t="s">
        <v>1168</v>
      </c>
    </row>
    <row r="68" customFormat="false" ht="15" hidden="false" customHeight="false" outlineLevel="0" collapsed="false">
      <c r="A68" s="14" t="s">
        <v>1219</v>
      </c>
      <c r="B68" s="15" t="n">
        <v>9</v>
      </c>
      <c r="C68" s="15" t="n">
        <v>1</v>
      </c>
      <c r="D68" s="14" t="s">
        <v>1226</v>
      </c>
    </row>
    <row r="69" customFormat="false" ht="15" hidden="false" customHeight="false" outlineLevel="0" collapsed="false">
      <c r="A69" s="14" t="s">
        <v>1219</v>
      </c>
      <c r="B69" s="15" t="n">
        <v>10</v>
      </c>
      <c r="C69" s="15" t="n">
        <v>1</v>
      </c>
      <c r="D69" s="14" t="s">
        <v>1227</v>
      </c>
    </row>
    <row r="70" customFormat="false" ht="15" hidden="false" customHeight="false" outlineLevel="0" collapsed="false">
      <c r="A70" s="14" t="s">
        <v>1219</v>
      </c>
      <c r="B70" s="15" t="n">
        <v>11</v>
      </c>
      <c r="C70" s="15" t="n">
        <v>1</v>
      </c>
      <c r="D70" s="14" t="s">
        <v>1228</v>
      </c>
    </row>
    <row r="71" customFormat="false" ht="15" hidden="false" customHeight="false" outlineLevel="0" collapsed="false">
      <c r="A71" s="14" t="s">
        <v>1219</v>
      </c>
      <c r="B71" s="15" t="n">
        <v>12</v>
      </c>
      <c r="C71" s="15" t="n">
        <v>1</v>
      </c>
      <c r="D71" s="14" t="s">
        <v>1229</v>
      </c>
    </row>
    <row r="72" customFormat="false" ht="15" hidden="false" customHeight="false" outlineLevel="0" collapsed="false">
      <c r="A72" s="14" t="s">
        <v>1219</v>
      </c>
      <c r="B72" s="15" t="n">
        <v>13</v>
      </c>
      <c r="C72" s="15" t="n">
        <v>1</v>
      </c>
      <c r="D72" s="14" t="s">
        <v>1230</v>
      </c>
    </row>
    <row r="73" customFormat="false" ht="15" hidden="false" customHeight="false" outlineLevel="0" collapsed="false">
      <c r="A73" s="14" t="s">
        <v>1219</v>
      </c>
      <c r="B73" s="15" t="n">
        <v>14</v>
      </c>
      <c r="C73" s="15" t="n">
        <v>1</v>
      </c>
      <c r="D73" s="14" t="s">
        <v>1231</v>
      </c>
    </row>
    <row r="74" customFormat="false" ht="15" hidden="false" customHeight="false" outlineLevel="0" collapsed="false">
      <c r="A74" s="14" t="s">
        <v>1219</v>
      </c>
      <c r="B74" s="15" t="n">
        <v>15</v>
      </c>
      <c r="C74" s="15" t="n">
        <v>1</v>
      </c>
      <c r="D74" s="14" t="s">
        <v>1232</v>
      </c>
    </row>
    <row r="75" customFormat="false" ht="15" hidden="false" customHeight="false" outlineLevel="0" collapsed="false">
      <c r="A75" s="14" t="s">
        <v>1219</v>
      </c>
      <c r="B75" s="15" t="n">
        <v>16</v>
      </c>
      <c r="C75" s="15" t="n">
        <v>1</v>
      </c>
      <c r="D75" s="14" t="s">
        <v>1233</v>
      </c>
    </row>
    <row r="76" customFormat="false" ht="15" hidden="false" customHeight="false" outlineLevel="0" collapsed="false">
      <c r="A76" s="14" t="s">
        <v>1219</v>
      </c>
      <c r="B76" s="15" t="n">
        <v>17</v>
      </c>
      <c r="C76" s="15" t="n">
        <v>1</v>
      </c>
      <c r="D76" s="14" t="s">
        <v>1177</v>
      </c>
    </row>
    <row r="77" customFormat="false" ht="15" hidden="false" customHeight="false" outlineLevel="0" collapsed="false">
      <c r="A77" s="14" t="s">
        <v>1219</v>
      </c>
      <c r="B77" s="15" t="n">
        <v>18</v>
      </c>
      <c r="C77" s="15" t="n">
        <v>1</v>
      </c>
      <c r="D77" s="14" t="s">
        <v>1178</v>
      </c>
    </row>
    <row r="78" customFormat="false" ht="15" hidden="false" customHeight="false" outlineLevel="0" collapsed="false">
      <c r="A78" s="14" t="s">
        <v>1219</v>
      </c>
      <c r="B78" s="15" t="n">
        <v>19</v>
      </c>
      <c r="C78" s="15" t="n">
        <v>1</v>
      </c>
      <c r="D78" s="14" t="s">
        <v>1234</v>
      </c>
    </row>
    <row r="79" customFormat="false" ht="15" hidden="false" customHeight="false" outlineLevel="0" collapsed="false">
      <c r="A79" s="14" t="s">
        <v>1219</v>
      </c>
      <c r="B79" s="15" t="n">
        <v>20</v>
      </c>
      <c r="C79" s="15" t="n">
        <v>1</v>
      </c>
      <c r="D79" s="14" t="s">
        <v>1235</v>
      </c>
    </row>
    <row r="80" customFormat="false" ht="15" hidden="false" customHeight="false" outlineLevel="0" collapsed="false">
      <c r="A80" s="14" t="s">
        <v>1219</v>
      </c>
      <c r="B80" s="15" t="n">
        <v>21</v>
      </c>
      <c r="C80" s="15" t="n">
        <v>1</v>
      </c>
      <c r="D80" s="14" t="s">
        <v>1236</v>
      </c>
    </row>
    <row r="81" customFormat="false" ht="15" hidden="false" customHeight="false" outlineLevel="0" collapsed="false">
      <c r="A81" s="14" t="s">
        <v>1219</v>
      </c>
      <c r="B81" s="15" t="n">
        <v>22</v>
      </c>
      <c r="C81" s="15" t="n">
        <v>1</v>
      </c>
      <c r="D81" s="14" t="s">
        <v>1237</v>
      </c>
    </row>
    <row r="82" customFormat="false" ht="15" hidden="false" customHeight="false" outlineLevel="0" collapsed="false">
      <c r="A82" s="14" t="s">
        <v>1219</v>
      </c>
      <c r="B82" s="15" t="n">
        <v>23</v>
      </c>
      <c r="C82" s="15" t="n">
        <v>1</v>
      </c>
      <c r="D82" s="14" t="s">
        <v>1183</v>
      </c>
    </row>
    <row r="83" customFormat="false" ht="15" hidden="false" customHeight="false" outlineLevel="0" collapsed="false">
      <c r="A83" s="14" t="s">
        <v>1219</v>
      </c>
      <c r="B83" s="15" t="n">
        <v>24</v>
      </c>
      <c r="C83" s="15" t="n">
        <v>1</v>
      </c>
      <c r="D83" s="14" t="s">
        <v>1238</v>
      </c>
    </row>
    <row r="84" customFormat="false" ht="15" hidden="false" customHeight="false" outlineLevel="0" collapsed="false">
      <c r="A84" s="14" t="s">
        <v>1219</v>
      </c>
      <c r="B84" s="15" t="n">
        <v>25</v>
      </c>
      <c r="C84" s="15" t="n">
        <v>1</v>
      </c>
      <c r="D84" s="14" t="s">
        <v>1185</v>
      </c>
    </row>
    <row r="85" customFormat="false" ht="15" hidden="false" customHeight="false" outlineLevel="0" collapsed="false">
      <c r="A85" s="14" t="s">
        <v>1219</v>
      </c>
      <c r="B85" s="15" t="n">
        <v>26</v>
      </c>
      <c r="C85" s="15" t="n">
        <v>2</v>
      </c>
      <c r="D85" s="14" t="s">
        <v>1239</v>
      </c>
    </row>
    <row r="86" customFormat="false" ht="15" hidden="false" customHeight="false" outlineLevel="0" collapsed="false">
      <c r="A86" s="14" t="s">
        <v>1219</v>
      </c>
      <c r="B86" s="15" t="n">
        <v>27</v>
      </c>
      <c r="C86" s="15" t="n">
        <v>2</v>
      </c>
      <c r="D86" s="14" t="s">
        <v>1240</v>
      </c>
    </row>
    <row r="87" customFormat="false" ht="15" hidden="false" customHeight="false" outlineLevel="0" collapsed="false">
      <c r="A87" s="14" t="s">
        <v>1219</v>
      </c>
      <c r="B87" s="15" t="n">
        <v>28</v>
      </c>
      <c r="C87" s="15" t="n">
        <v>2</v>
      </c>
      <c r="D87" s="14" t="s">
        <v>1241</v>
      </c>
    </row>
    <row r="88" customFormat="false" ht="15" hidden="false" customHeight="false" outlineLevel="0" collapsed="false">
      <c r="A88" s="14" t="s">
        <v>1219</v>
      </c>
      <c r="B88" s="15" t="n">
        <v>29</v>
      </c>
      <c r="C88" s="15" t="n">
        <v>2</v>
      </c>
      <c r="D88" s="14" t="s">
        <v>1242</v>
      </c>
    </row>
    <row r="89" customFormat="false" ht="15" hidden="false" customHeight="false" outlineLevel="0" collapsed="false">
      <c r="A89" s="14" t="s">
        <v>1219</v>
      </c>
      <c r="B89" s="15" t="n">
        <v>30</v>
      </c>
      <c r="C89" s="15" t="n">
        <v>2</v>
      </c>
      <c r="D89" s="14" t="s">
        <v>1243</v>
      </c>
    </row>
    <row r="90" customFormat="false" ht="15" hidden="false" customHeight="false" outlineLevel="0" collapsed="false">
      <c r="A90" s="14" t="s">
        <v>1219</v>
      </c>
      <c r="B90" s="15" t="n">
        <v>31</v>
      </c>
      <c r="C90" s="15" t="n">
        <v>2</v>
      </c>
      <c r="D90" s="14" t="s">
        <v>1244</v>
      </c>
    </row>
    <row r="91" customFormat="false" ht="15" hidden="false" customHeight="false" outlineLevel="0" collapsed="false">
      <c r="A91" s="14" t="s">
        <v>1219</v>
      </c>
      <c r="B91" s="15" t="n">
        <v>32</v>
      </c>
      <c r="C91" s="15" t="n">
        <v>2</v>
      </c>
      <c r="D91" s="14" t="s">
        <v>1245</v>
      </c>
    </row>
    <row r="92" customFormat="false" ht="15" hidden="false" customHeight="false" outlineLevel="0" collapsed="false">
      <c r="A92" s="14" t="s">
        <v>1219</v>
      </c>
      <c r="B92" s="15" t="n">
        <v>33</v>
      </c>
      <c r="C92" s="15" t="n">
        <v>2</v>
      </c>
      <c r="D92" s="14" t="s">
        <v>1246</v>
      </c>
    </row>
    <row r="93" customFormat="false" ht="15" hidden="false" customHeight="false" outlineLevel="0" collapsed="false">
      <c r="A93" s="14" t="s">
        <v>1219</v>
      </c>
      <c r="B93" s="15" t="n">
        <v>34</v>
      </c>
      <c r="C93" s="15" t="n">
        <v>1</v>
      </c>
      <c r="D93" s="14" t="s">
        <v>1193</v>
      </c>
    </row>
    <row r="94" customFormat="false" ht="15" hidden="false" customHeight="false" outlineLevel="0" collapsed="false">
      <c r="A94" s="14" t="s">
        <v>1219</v>
      </c>
      <c r="B94" s="15" t="n">
        <v>35</v>
      </c>
      <c r="C94" s="15" t="n">
        <v>1</v>
      </c>
      <c r="D94" s="14" t="s">
        <v>1194</v>
      </c>
    </row>
    <row r="95" customFormat="false" ht="15" hidden="false" customHeight="false" outlineLevel="0" collapsed="false">
      <c r="A95" s="14" t="s">
        <v>1219</v>
      </c>
      <c r="B95" s="15" t="n">
        <v>36</v>
      </c>
      <c r="C95" s="15" t="n">
        <v>1</v>
      </c>
      <c r="D95" s="14" t="s">
        <v>1195</v>
      </c>
    </row>
    <row r="96" customFormat="false" ht="15" hidden="false" customHeight="false" outlineLevel="0" collapsed="false">
      <c r="A96" s="14" t="s">
        <v>1219</v>
      </c>
      <c r="B96" s="15" t="n">
        <v>37</v>
      </c>
      <c r="C96" s="15" t="n">
        <v>2</v>
      </c>
      <c r="D96" s="14" t="s">
        <v>1247</v>
      </c>
    </row>
    <row r="97" customFormat="false" ht="15" hidden="false" customHeight="false" outlineLevel="0" collapsed="false">
      <c r="A97" s="14" t="s">
        <v>1219</v>
      </c>
      <c r="B97" s="15" t="n">
        <v>38</v>
      </c>
      <c r="C97" s="15" t="n">
        <v>2</v>
      </c>
      <c r="D97" s="14" t="s">
        <v>1248</v>
      </c>
    </row>
    <row r="98" customFormat="false" ht="15" hidden="false" customHeight="false" outlineLevel="0" collapsed="false">
      <c r="A98" s="14" t="s">
        <v>1219</v>
      </c>
      <c r="B98" s="15" t="n">
        <v>39</v>
      </c>
      <c r="C98" s="15" t="n">
        <v>2</v>
      </c>
      <c r="D98" s="14" t="s">
        <v>1249</v>
      </c>
    </row>
    <row r="99" customFormat="false" ht="15" hidden="false" customHeight="false" outlineLevel="0" collapsed="false">
      <c r="A99" s="14" t="s">
        <v>1219</v>
      </c>
      <c r="B99" s="15" t="n">
        <v>40</v>
      </c>
      <c r="C99" s="15" t="n">
        <v>2</v>
      </c>
      <c r="D99" s="14" t="s">
        <v>1250</v>
      </c>
    </row>
    <row r="100" customFormat="false" ht="15" hidden="false" customHeight="false" outlineLevel="0" collapsed="false">
      <c r="A100" s="14" t="s">
        <v>1219</v>
      </c>
      <c r="B100" s="15" t="n">
        <v>41</v>
      </c>
      <c r="C100" s="15" t="n">
        <v>2</v>
      </c>
      <c r="D100" s="14" t="s">
        <v>1251</v>
      </c>
    </row>
    <row r="101" customFormat="false" ht="15" hidden="false" customHeight="false" outlineLevel="0" collapsed="false">
      <c r="A101" s="14" t="s">
        <v>1219</v>
      </c>
      <c r="B101" s="15" t="n">
        <v>42</v>
      </c>
      <c r="C101" s="15" t="n">
        <v>1</v>
      </c>
      <c r="D101" s="14" t="s">
        <v>1196</v>
      </c>
    </row>
    <row r="102" customFormat="false" ht="15" hidden="false" customHeight="false" outlineLevel="0" collapsed="false">
      <c r="A102" s="14" t="s">
        <v>1219</v>
      </c>
      <c r="B102" s="15" t="n">
        <v>43</v>
      </c>
      <c r="C102" s="15" t="n">
        <v>1</v>
      </c>
      <c r="D102" s="14" t="s">
        <v>1197</v>
      </c>
    </row>
    <row r="103" customFormat="false" ht="15" hidden="false" customHeight="false" outlineLevel="0" collapsed="false">
      <c r="A103" s="14" t="s">
        <v>1219</v>
      </c>
      <c r="B103" s="15" t="n">
        <v>44</v>
      </c>
      <c r="C103" s="15" t="n">
        <v>2</v>
      </c>
      <c r="D103" s="14" t="s">
        <v>1252</v>
      </c>
    </row>
    <row r="104" customFormat="false" ht="15" hidden="false" customHeight="false" outlineLevel="0" collapsed="false">
      <c r="A104" s="14" t="s">
        <v>1219</v>
      </c>
      <c r="B104" s="15" t="n">
        <v>45</v>
      </c>
      <c r="C104" s="15" t="n">
        <v>2</v>
      </c>
      <c r="D104" s="14" t="s">
        <v>1253</v>
      </c>
    </row>
    <row r="105" customFormat="false" ht="15" hidden="false" customHeight="false" outlineLevel="0" collapsed="false">
      <c r="A105" s="14" t="s">
        <v>1219</v>
      </c>
      <c r="B105" s="15" t="n">
        <v>46</v>
      </c>
      <c r="C105" s="15" t="n">
        <v>2</v>
      </c>
      <c r="D105" s="14" t="s">
        <v>1254</v>
      </c>
    </row>
    <row r="106" customFormat="false" ht="15" hidden="false" customHeight="false" outlineLevel="0" collapsed="false">
      <c r="A106" s="14" t="s">
        <v>1219</v>
      </c>
      <c r="B106" s="15" t="n">
        <v>47</v>
      </c>
      <c r="C106" s="15" t="n">
        <v>2</v>
      </c>
      <c r="D106" s="14" t="s">
        <v>1255</v>
      </c>
    </row>
    <row r="107" customFormat="false" ht="15" hidden="false" customHeight="false" outlineLevel="0" collapsed="false">
      <c r="A107" s="14" t="s">
        <v>1219</v>
      </c>
      <c r="B107" s="15" t="n">
        <v>48</v>
      </c>
      <c r="C107" s="15" t="n">
        <v>2</v>
      </c>
      <c r="D107" s="14" t="s">
        <v>1256</v>
      </c>
    </row>
    <row r="108" customFormat="false" ht="15" hidden="false" customHeight="false" outlineLevel="0" collapsed="false">
      <c r="A108" s="14" t="s">
        <v>1219</v>
      </c>
      <c r="B108" s="15" t="n">
        <v>49</v>
      </c>
      <c r="C108" s="15" t="n">
        <v>2</v>
      </c>
      <c r="D108" s="14" t="s">
        <v>1257</v>
      </c>
    </row>
    <row r="109" customFormat="false" ht="15" hidden="false" customHeight="false" outlineLevel="0" collapsed="false">
      <c r="A109" s="14" t="s">
        <v>1219</v>
      </c>
      <c r="B109" s="15" t="n">
        <v>50</v>
      </c>
      <c r="C109" s="15" t="n">
        <v>2</v>
      </c>
      <c r="D109" s="14" t="s">
        <v>1258</v>
      </c>
    </row>
    <row r="110" customFormat="false" ht="15" hidden="false" customHeight="false" outlineLevel="0" collapsed="false">
      <c r="A110" s="14" t="s">
        <v>1219</v>
      </c>
      <c r="B110" s="15" t="n">
        <v>51</v>
      </c>
      <c r="C110" s="15" t="n">
        <v>1</v>
      </c>
      <c r="D110" s="14" t="s">
        <v>1207</v>
      </c>
    </row>
    <row r="111" customFormat="false" ht="15" hidden="false" customHeight="false" outlineLevel="0" collapsed="false">
      <c r="A111" s="14" t="s">
        <v>1219</v>
      </c>
      <c r="B111" s="15" t="n">
        <v>52</v>
      </c>
      <c r="C111" s="15" t="n">
        <v>1</v>
      </c>
      <c r="D111" s="14" t="s">
        <v>1259</v>
      </c>
    </row>
    <row r="112" customFormat="false" ht="15" hidden="false" customHeight="false" outlineLevel="0" collapsed="false">
      <c r="A112" s="14" t="s">
        <v>1219</v>
      </c>
      <c r="B112" s="15" t="n">
        <v>53</v>
      </c>
      <c r="C112" s="15" t="n">
        <v>1</v>
      </c>
      <c r="D112" s="14" t="s">
        <v>1260</v>
      </c>
    </row>
    <row r="113" customFormat="false" ht="15" hidden="false" customHeight="false" outlineLevel="0" collapsed="false">
      <c r="A113" s="14" t="s">
        <v>1219</v>
      </c>
      <c r="B113" s="15" t="n">
        <v>54</v>
      </c>
      <c r="C113" s="15" t="n">
        <v>1</v>
      </c>
      <c r="D113" s="14" t="s">
        <v>1261</v>
      </c>
    </row>
    <row r="114" customFormat="false" ht="15" hidden="false" customHeight="false" outlineLevel="0" collapsed="false">
      <c r="A114" s="14" t="s">
        <v>1219</v>
      </c>
      <c r="B114" s="15" t="n">
        <v>55</v>
      </c>
      <c r="C114" s="15" t="n">
        <v>1</v>
      </c>
      <c r="D114" s="14" t="s">
        <v>1262</v>
      </c>
    </row>
    <row r="115" customFormat="false" ht="15" hidden="false" customHeight="false" outlineLevel="0" collapsed="false">
      <c r="A115" s="14" t="s">
        <v>1219</v>
      </c>
      <c r="B115" s="15" t="n">
        <v>56</v>
      </c>
      <c r="C115" s="15" t="n">
        <v>1</v>
      </c>
      <c r="D115" s="14" t="s">
        <v>1212</v>
      </c>
    </row>
    <row r="116" customFormat="false" ht="15" hidden="false" customHeight="false" outlineLevel="0" collapsed="false">
      <c r="A116" s="14" t="s">
        <v>1219</v>
      </c>
      <c r="B116" s="15" t="n">
        <v>57</v>
      </c>
      <c r="C116" s="15" t="n">
        <v>1</v>
      </c>
      <c r="D116" s="14" t="s">
        <v>1263</v>
      </c>
    </row>
    <row r="117" customFormat="false" ht="15" hidden="false" customHeight="false" outlineLevel="0" collapsed="false">
      <c r="A117" s="14" t="s">
        <v>1219</v>
      </c>
      <c r="B117" s="15" t="n">
        <v>58</v>
      </c>
      <c r="C117" s="15" t="n">
        <v>1</v>
      </c>
      <c r="D117" s="14" t="s">
        <v>1264</v>
      </c>
    </row>
    <row r="118" customFormat="false" ht="15" hidden="false" customHeight="false" outlineLevel="0" collapsed="false">
      <c r="A118" s="14" t="s">
        <v>1219</v>
      </c>
      <c r="B118" s="15" t="n">
        <v>59</v>
      </c>
      <c r="C118" s="15" t="n">
        <v>1</v>
      </c>
      <c r="D118" s="14" t="s">
        <v>1215</v>
      </c>
    </row>
    <row r="119" customFormat="false" ht="15" hidden="false" customHeight="false" outlineLevel="0" collapsed="false">
      <c r="A119" s="14" t="s">
        <v>1219</v>
      </c>
      <c r="B119" s="15" t="n">
        <v>60</v>
      </c>
      <c r="C119" s="15" t="n">
        <v>1</v>
      </c>
      <c r="D119" s="14" t="s">
        <v>1265</v>
      </c>
    </row>
    <row r="120" customFormat="false" ht="15" hidden="false" customHeight="false" outlineLevel="0" collapsed="false">
      <c r="A120" s="14" t="s">
        <v>1219</v>
      </c>
      <c r="B120" s="15" t="n">
        <v>61</v>
      </c>
      <c r="C120" s="15" t="n">
        <v>1</v>
      </c>
      <c r="D120" s="14" t="s">
        <v>1266</v>
      </c>
    </row>
    <row r="121" customFormat="false" ht="15" hidden="false" customHeight="false" outlineLevel="0" collapsed="false">
      <c r="A121" s="14" t="s">
        <v>1219</v>
      </c>
      <c r="B121" s="15" t="n">
        <v>62</v>
      </c>
      <c r="C121" s="15" t="n">
        <v>0</v>
      </c>
      <c r="D121" s="14" t="s">
        <v>1218</v>
      </c>
    </row>
  </sheetData>
  <autoFilter ref="A1:D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26"/>
    <col collapsed="false" customWidth="true" hidden="false" outlineLevel="0" max="17" min="17" style="0" width="19"/>
    <col collapsed="false" customWidth="true" hidden="false" outlineLevel="0" max="18" min="18" style="0" width="26"/>
    <col collapsed="false" customWidth="true" hidden="false" outlineLevel="0" max="19" min="19" style="0" width="10"/>
    <col collapsed="false" customWidth="true" hidden="false" outlineLevel="0" max="20" min="20" style="0" width="24"/>
    <col collapsed="false" customWidth="true" hidden="false" outlineLevel="0" max="21" min="21" style="0" width="23"/>
    <col collapsed="false" customWidth="true" hidden="false" outlineLevel="0" max="22" min="22" style="0" width="19"/>
    <col collapsed="false" customWidth="true" hidden="false" outlineLevel="0" max="23" min="23" style="0" width="14"/>
    <col collapsed="false" customWidth="true" hidden="false" outlineLevel="0" max="24" min="24" style="0" width="18"/>
    <col collapsed="false" customWidth="true" hidden="false" outlineLevel="0" max="25" min="25" style="0" width="20"/>
    <col collapsed="false" customWidth="true" hidden="false" outlineLevel="0" max="26" min="26" style="0" width="16"/>
    <col collapsed="false" customWidth="true" hidden="false" outlineLevel="0" max="27" min="27" style="0" width="20"/>
    <col collapsed="false" customWidth="true" hidden="false" outlineLevel="0" max="29" min="28" style="0" width="12"/>
    <col collapsed="false" customWidth="true" hidden="false" outlineLevel="0" max="30" min="30" style="0" width="28"/>
    <col collapsed="false" customWidth="true" hidden="false" outlineLevel="0" max="31" min="31" style="0" width="35"/>
    <col collapsed="false" customWidth="true" hidden="false" outlineLevel="0" max="32" min="32" style="0" width="28"/>
    <col collapsed="false" customWidth="true" hidden="false" outlineLevel="0" max="33" min="33" style="0" width="35"/>
    <col collapsed="false" customWidth="true" hidden="false" outlineLevel="0" max="34" min="34" style="0" width="18"/>
    <col collapsed="false" customWidth="true" hidden="false" outlineLevel="0" max="35" min="35" style="0" width="22"/>
    <col collapsed="false" customWidth="true" hidden="false" outlineLevel="0" max="36" min="36" style="0" width="21"/>
    <col collapsed="false" customWidth="true" hidden="false" outlineLevel="0" max="37" min="37" style="0" width="17"/>
    <col collapsed="false" customWidth="true" hidden="false" outlineLevel="0" max="40" min="38" style="0" width="19"/>
  </cols>
  <sheetData>
    <row r="1" customFormat="false" ht="30" hidden="false" customHeight="true" outlineLevel="0" collapsed="false">
      <c r="A1" s="5" t="s">
        <v>118</v>
      </c>
      <c r="B1" s="5" t="s">
        <v>125</v>
      </c>
      <c r="C1" s="5" t="s">
        <v>132</v>
      </c>
      <c r="D1" s="5" t="s">
        <v>148</v>
      </c>
      <c r="E1" s="5" t="s">
        <v>138</v>
      </c>
      <c r="F1" s="5" t="s">
        <v>155</v>
      </c>
      <c r="G1" s="5" t="s">
        <v>165</v>
      </c>
      <c r="H1" s="5" t="s">
        <v>175</v>
      </c>
      <c r="I1" s="5" t="s">
        <v>185</v>
      </c>
      <c r="J1" s="5" t="s">
        <v>198</v>
      </c>
      <c r="K1" s="5" t="s">
        <v>192</v>
      </c>
      <c r="L1" s="5" t="s">
        <v>209</v>
      </c>
      <c r="M1" s="5" t="s">
        <v>203</v>
      </c>
      <c r="N1" s="5" t="s">
        <v>215</v>
      </c>
      <c r="O1" s="5" t="s">
        <v>221</v>
      </c>
      <c r="P1" s="5" t="s">
        <v>227</v>
      </c>
      <c r="Q1" s="5" t="s">
        <v>233</v>
      </c>
      <c r="R1" s="5" t="s">
        <v>239</v>
      </c>
      <c r="S1" s="5" t="s">
        <v>506</v>
      </c>
      <c r="T1" s="5" t="s">
        <v>244</v>
      </c>
      <c r="U1" s="5" t="s">
        <v>250</v>
      </c>
      <c r="V1" s="5" t="s">
        <v>256</v>
      </c>
      <c r="W1" s="5" t="s">
        <v>265</v>
      </c>
      <c r="X1" s="5" t="s">
        <v>271</v>
      </c>
      <c r="Y1" s="5" t="s">
        <v>280</v>
      </c>
      <c r="Z1" s="5" t="s">
        <v>287</v>
      </c>
      <c r="AA1" s="5" t="s">
        <v>296</v>
      </c>
      <c r="AB1" s="5" t="s">
        <v>331</v>
      </c>
      <c r="AC1" s="5" t="s">
        <v>337</v>
      </c>
      <c r="AD1" s="5" t="s">
        <v>529</v>
      </c>
      <c r="AE1" s="5" t="s">
        <v>532</v>
      </c>
      <c r="AF1" s="5" t="s">
        <v>534</v>
      </c>
      <c r="AG1" s="5" t="s">
        <v>536</v>
      </c>
      <c r="AH1" s="5" t="s">
        <v>538</v>
      </c>
      <c r="AI1" s="5" t="s">
        <v>412</v>
      </c>
      <c r="AJ1" s="5" t="s">
        <v>419</v>
      </c>
      <c r="AK1" s="5" t="s">
        <v>429</v>
      </c>
      <c r="AL1" s="5" t="s">
        <v>436</v>
      </c>
      <c r="AM1" s="5" t="s">
        <v>446</v>
      </c>
      <c r="AN1" s="5" t="s">
        <v>455</v>
      </c>
    </row>
    <row r="2" customFormat="false" ht="15" hidden="false" customHeight="false" outlineLevel="0" collapsed="false">
      <c r="A2" s="14" t="s">
        <v>117</v>
      </c>
      <c r="B2" s="14" t="s">
        <v>124</v>
      </c>
      <c r="C2" s="14" t="s">
        <v>131</v>
      </c>
      <c r="D2" s="16" t="n">
        <v>24021</v>
      </c>
      <c r="E2" s="14" t="s">
        <v>137</v>
      </c>
      <c r="F2" s="14" t="s">
        <v>154</v>
      </c>
      <c r="G2" s="14" t="s">
        <v>164</v>
      </c>
      <c r="H2" s="15"/>
      <c r="I2" s="14" t="s">
        <v>184</v>
      </c>
      <c r="J2" s="16" t="n">
        <v>210</v>
      </c>
      <c r="K2" s="14" t="s">
        <v>191</v>
      </c>
      <c r="L2" s="16" t="n">
        <v>210040</v>
      </c>
      <c r="M2" s="14" t="s">
        <v>202</v>
      </c>
      <c r="N2" s="14" t="s">
        <v>214</v>
      </c>
      <c r="O2" s="16" t="n">
        <v>395</v>
      </c>
      <c r="P2" s="16" t="n">
        <v>320</v>
      </c>
      <c r="Q2" s="16" t="n">
        <v>690</v>
      </c>
      <c r="R2" s="16" t="n">
        <v>530</v>
      </c>
      <c r="S2" s="17" t="b">
        <f aca="false">TRUE()</f>
        <v>1</v>
      </c>
      <c r="T2" s="16" t="n">
        <v>1</v>
      </c>
      <c r="U2" s="16" t="n">
        <v>1</v>
      </c>
      <c r="V2" s="16" t="n">
        <v>24</v>
      </c>
      <c r="W2" s="18" t="n">
        <v>1.2</v>
      </c>
      <c r="X2" s="18" t="n">
        <v>0.009</v>
      </c>
      <c r="Y2" s="19" t="n">
        <v>45607.3143981482</v>
      </c>
      <c r="Z2" s="16" t="n">
        <v>1</v>
      </c>
      <c r="AA2" s="14" t="s">
        <v>1267</v>
      </c>
      <c r="AB2" s="15"/>
      <c r="AC2" s="15"/>
      <c r="AD2" s="16" t="n">
        <v>395</v>
      </c>
      <c r="AE2" s="16" t="n">
        <v>320</v>
      </c>
      <c r="AF2" s="16" t="n">
        <v>690</v>
      </c>
      <c r="AG2" s="16" t="n">
        <v>530</v>
      </c>
      <c r="AH2" s="14" t="s">
        <v>411</v>
      </c>
      <c r="AI2" s="14" t="s">
        <v>411</v>
      </c>
      <c r="AJ2" s="14" t="s">
        <v>411</v>
      </c>
      <c r="AK2" s="14" t="s">
        <v>428</v>
      </c>
      <c r="AL2" s="17" t="b">
        <f aca="false">TRUE()</f>
        <v>1</v>
      </c>
      <c r="AM2" s="14" t="s">
        <v>445</v>
      </c>
      <c r="AN2" s="14" t="s">
        <v>454</v>
      </c>
    </row>
    <row r="3" customFormat="false" ht="15" hidden="false" customHeight="false" outlineLevel="0" collapsed="false">
      <c r="A3" s="14" t="s">
        <v>1268</v>
      </c>
      <c r="B3" s="14" t="s">
        <v>1269</v>
      </c>
      <c r="C3" s="14" t="s">
        <v>1270</v>
      </c>
      <c r="D3" s="16" t="n">
        <v>24021</v>
      </c>
      <c r="E3" s="14" t="s">
        <v>137</v>
      </c>
      <c r="F3" s="14" t="s">
        <v>154</v>
      </c>
      <c r="G3" s="14" t="s">
        <v>1271</v>
      </c>
      <c r="H3" s="15"/>
      <c r="I3" s="14" t="s">
        <v>184</v>
      </c>
      <c r="J3" s="16" t="n">
        <v>210</v>
      </c>
      <c r="K3" s="14" t="s">
        <v>191</v>
      </c>
      <c r="L3" s="16" t="n">
        <v>210040</v>
      </c>
      <c r="M3" s="14" t="s">
        <v>202</v>
      </c>
      <c r="N3" s="14" t="s">
        <v>214</v>
      </c>
      <c r="O3" s="16" t="n">
        <v>395</v>
      </c>
      <c r="P3" s="16" t="n">
        <v>280</v>
      </c>
      <c r="Q3" s="16" t="n">
        <v>690</v>
      </c>
      <c r="R3" s="16" t="n">
        <v>470</v>
      </c>
      <c r="S3" s="17" t="b">
        <f aca="false">TRUE()</f>
        <v>1</v>
      </c>
      <c r="T3" s="16" t="n">
        <v>1</v>
      </c>
      <c r="U3" s="16" t="n">
        <v>1</v>
      </c>
      <c r="V3" s="16" t="n">
        <v>24</v>
      </c>
      <c r="W3" s="18" t="n">
        <v>1.2</v>
      </c>
      <c r="X3" s="18" t="n">
        <v>0.009</v>
      </c>
      <c r="Y3" s="19" t="n">
        <v>45607.3143981482</v>
      </c>
      <c r="Z3" s="16" t="n">
        <v>1</v>
      </c>
      <c r="AA3" s="14" t="s">
        <v>1267</v>
      </c>
      <c r="AB3" s="15"/>
      <c r="AC3" s="15"/>
      <c r="AD3" s="16" t="n">
        <v>395</v>
      </c>
      <c r="AE3" s="16" t="n">
        <v>280</v>
      </c>
      <c r="AF3" s="16" t="n">
        <v>690</v>
      </c>
      <c r="AG3" s="16" t="n">
        <v>470</v>
      </c>
      <c r="AH3" s="14" t="s">
        <v>411</v>
      </c>
      <c r="AI3" s="14" t="s">
        <v>411</v>
      </c>
      <c r="AJ3" s="14" t="s">
        <v>411</v>
      </c>
      <c r="AK3" s="14" t="s">
        <v>428</v>
      </c>
      <c r="AL3" s="17" t="b">
        <f aca="false">TRUE()</f>
        <v>1</v>
      </c>
      <c r="AM3" s="14" t="s">
        <v>445</v>
      </c>
      <c r="AN3" s="14" t="s">
        <v>454</v>
      </c>
    </row>
    <row r="4" customFormat="false" ht="15" hidden="false" customHeight="false" outlineLevel="0" collapsed="false">
      <c r="A4" s="14" t="s">
        <v>1272</v>
      </c>
      <c r="B4" s="14" t="s">
        <v>1273</v>
      </c>
      <c r="C4" s="14" t="s">
        <v>1274</v>
      </c>
      <c r="D4" s="16" t="n">
        <v>24021</v>
      </c>
      <c r="E4" s="14" t="s">
        <v>137</v>
      </c>
      <c r="F4" s="14" t="s">
        <v>154</v>
      </c>
      <c r="G4" s="14" t="s">
        <v>1275</v>
      </c>
      <c r="H4" s="15"/>
      <c r="I4" s="14" t="s">
        <v>184</v>
      </c>
      <c r="J4" s="16" t="n">
        <v>210</v>
      </c>
      <c r="K4" s="14" t="s">
        <v>191</v>
      </c>
      <c r="L4" s="16" t="n">
        <v>210040</v>
      </c>
      <c r="M4" s="14" t="s">
        <v>202</v>
      </c>
      <c r="N4" s="14" t="s">
        <v>214</v>
      </c>
      <c r="O4" s="16" t="n">
        <v>395</v>
      </c>
      <c r="P4" s="16" t="n">
        <v>300</v>
      </c>
      <c r="Q4" s="16" t="n">
        <v>690</v>
      </c>
      <c r="R4" s="16" t="n">
        <v>510</v>
      </c>
      <c r="S4" s="17" t="b">
        <f aca="false">TRUE()</f>
        <v>1</v>
      </c>
      <c r="T4" s="16" t="n">
        <v>1</v>
      </c>
      <c r="U4" s="16" t="n">
        <v>1</v>
      </c>
      <c r="V4" s="16" t="n">
        <v>24</v>
      </c>
      <c r="W4" s="18" t="n">
        <v>1.2</v>
      </c>
      <c r="X4" s="18" t="n">
        <v>0.009</v>
      </c>
      <c r="Y4" s="19" t="n">
        <v>45607.3143981482</v>
      </c>
      <c r="Z4" s="16" t="n">
        <v>1</v>
      </c>
      <c r="AA4" s="14" t="s">
        <v>1267</v>
      </c>
      <c r="AB4" s="15"/>
      <c r="AC4" s="15"/>
      <c r="AD4" s="16" t="n">
        <v>395</v>
      </c>
      <c r="AE4" s="16" t="n">
        <v>300</v>
      </c>
      <c r="AF4" s="16" t="n">
        <v>690</v>
      </c>
      <c r="AG4" s="16" t="n">
        <v>510</v>
      </c>
      <c r="AH4" s="14" t="s">
        <v>411</v>
      </c>
      <c r="AI4" s="14" t="s">
        <v>411</v>
      </c>
      <c r="AJ4" s="14" t="s">
        <v>411</v>
      </c>
      <c r="AK4" s="14" t="s">
        <v>428</v>
      </c>
      <c r="AL4" s="17" t="b">
        <f aca="false">TRUE()</f>
        <v>1</v>
      </c>
      <c r="AM4" s="14" t="s">
        <v>445</v>
      </c>
      <c r="AN4" s="14" t="s">
        <v>454</v>
      </c>
    </row>
    <row r="5" customFormat="false" ht="15" hidden="false" customHeight="false" outlineLevel="0" collapsed="false">
      <c r="A5" s="14" t="s">
        <v>1276</v>
      </c>
      <c r="B5" s="14" t="s">
        <v>1277</v>
      </c>
      <c r="C5" s="14" t="s">
        <v>1278</v>
      </c>
      <c r="D5" s="16" t="n">
        <v>24341</v>
      </c>
      <c r="E5" s="14" t="s">
        <v>1279</v>
      </c>
      <c r="F5" s="14" t="s">
        <v>1280</v>
      </c>
      <c r="G5" s="14" t="s">
        <v>1281</v>
      </c>
      <c r="H5" s="15"/>
      <c r="I5" s="14" t="s">
        <v>184</v>
      </c>
      <c r="J5" s="16" t="n">
        <v>210</v>
      </c>
      <c r="K5" s="14" t="s">
        <v>191</v>
      </c>
      <c r="L5" s="16" t="n">
        <v>210040</v>
      </c>
      <c r="M5" s="14" t="s">
        <v>202</v>
      </c>
      <c r="N5" s="14" t="s">
        <v>214</v>
      </c>
      <c r="O5" s="16" t="n">
        <v>600</v>
      </c>
      <c r="P5" s="16" t="n">
        <v>540</v>
      </c>
      <c r="Q5" s="16" t="n">
        <v>1050</v>
      </c>
      <c r="R5" s="16" t="n">
        <v>910</v>
      </c>
      <c r="S5" s="17" t="b">
        <f aca="false">TRUE()</f>
        <v>1</v>
      </c>
      <c r="T5" s="16" t="n">
        <v>1</v>
      </c>
      <c r="U5" s="16" t="n">
        <v>1</v>
      </c>
      <c r="V5" s="16" t="n">
        <v>50</v>
      </c>
      <c r="W5" s="18" t="n">
        <v>1.2</v>
      </c>
      <c r="X5" s="18" t="n">
        <v>0.009</v>
      </c>
      <c r="Y5" s="19" t="n">
        <v>45673.4256365741</v>
      </c>
      <c r="Z5" s="16" t="n">
        <v>1</v>
      </c>
      <c r="AA5" s="14" t="s">
        <v>1282</v>
      </c>
      <c r="AB5" s="15"/>
      <c r="AC5" s="15"/>
      <c r="AD5" s="16" t="n">
        <v>60</v>
      </c>
      <c r="AE5" s="16" t="n">
        <v>54</v>
      </c>
      <c r="AF5" s="16" t="n">
        <v>105</v>
      </c>
      <c r="AG5" s="16" t="n">
        <v>91</v>
      </c>
      <c r="AH5" s="14" t="s">
        <v>411</v>
      </c>
      <c r="AI5" s="14" t="s">
        <v>411</v>
      </c>
      <c r="AJ5" s="14" t="s">
        <v>411</v>
      </c>
      <c r="AK5" s="14" t="s">
        <v>428</v>
      </c>
      <c r="AL5" s="17" t="b">
        <f aca="false">FALSE()</f>
        <v>0</v>
      </c>
      <c r="AM5" s="14" t="s">
        <v>445</v>
      </c>
      <c r="AN5" s="14" t="s">
        <v>454</v>
      </c>
    </row>
    <row r="6" customFormat="false" ht="15" hidden="false" customHeight="false" outlineLevel="0" collapsed="false">
      <c r="A6" s="14" t="s">
        <v>1283</v>
      </c>
      <c r="B6" s="14" t="s">
        <v>1284</v>
      </c>
      <c r="C6" s="14" t="s">
        <v>1285</v>
      </c>
      <c r="D6" s="16" t="n">
        <v>24341</v>
      </c>
      <c r="E6" s="14" t="s">
        <v>1279</v>
      </c>
      <c r="F6" s="14" t="s">
        <v>1280</v>
      </c>
      <c r="G6" s="14" t="s">
        <v>1286</v>
      </c>
      <c r="H6" s="15"/>
      <c r="I6" s="14" t="s">
        <v>184</v>
      </c>
      <c r="J6" s="16" t="n">
        <v>210</v>
      </c>
      <c r="K6" s="14" t="s">
        <v>191</v>
      </c>
      <c r="L6" s="16" t="n">
        <v>210040</v>
      </c>
      <c r="M6" s="14" t="s">
        <v>202</v>
      </c>
      <c r="N6" s="14" t="s">
        <v>214</v>
      </c>
      <c r="O6" s="16" t="n">
        <v>600</v>
      </c>
      <c r="P6" s="16" t="n">
        <v>360</v>
      </c>
      <c r="Q6" s="16" t="n">
        <v>1050</v>
      </c>
      <c r="R6" s="16" t="n">
        <v>610</v>
      </c>
      <c r="S6" s="17" t="b">
        <f aca="false">TRUE()</f>
        <v>1</v>
      </c>
      <c r="T6" s="16" t="n">
        <v>1</v>
      </c>
      <c r="U6" s="16" t="n">
        <v>1</v>
      </c>
      <c r="V6" s="16" t="n">
        <v>40</v>
      </c>
      <c r="W6" s="18" t="n">
        <v>2.8</v>
      </c>
      <c r="X6" s="18" t="n">
        <v>0.009</v>
      </c>
      <c r="Y6" s="19" t="n">
        <v>45716.4113541667</v>
      </c>
      <c r="Z6" s="16" t="n">
        <v>1</v>
      </c>
      <c r="AA6" s="14" t="s">
        <v>1282</v>
      </c>
      <c r="AB6" s="15"/>
      <c r="AC6" s="15"/>
      <c r="AD6" s="16" t="n">
        <v>60</v>
      </c>
      <c r="AE6" s="16" t="n">
        <v>36</v>
      </c>
      <c r="AF6" s="16" t="n">
        <v>105</v>
      </c>
      <c r="AG6" s="16" t="n">
        <v>61</v>
      </c>
      <c r="AH6" s="14" t="s">
        <v>411</v>
      </c>
      <c r="AI6" s="14" t="s">
        <v>411</v>
      </c>
      <c r="AJ6" s="14" t="s">
        <v>411</v>
      </c>
      <c r="AK6" s="14" t="s">
        <v>428</v>
      </c>
      <c r="AL6" s="17" t="b">
        <f aca="false">TRUE()</f>
        <v>1</v>
      </c>
      <c r="AM6" s="14" t="s">
        <v>445</v>
      </c>
      <c r="AN6" s="14" t="s">
        <v>454</v>
      </c>
    </row>
    <row r="7" customFormat="false" ht="15" hidden="false" customHeight="false" outlineLevel="0" collapsed="false">
      <c r="A7" s="14" t="s">
        <v>1287</v>
      </c>
      <c r="B7" s="14" t="s">
        <v>1288</v>
      </c>
      <c r="C7" s="14" t="s">
        <v>1289</v>
      </c>
      <c r="D7" s="16" t="n">
        <v>24341</v>
      </c>
      <c r="E7" s="14" t="s">
        <v>1279</v>
      </c>
      <c r="F7" s="14" t="s">
        <v>1280</v>
      </c>
      <c r="G7" s="14" t="s">
        <v>1290</v>
      </c>
      <c r="H7" s="15"/>
      <c r="I7" s="14" t="s">
        <v>184</v>
      </c>
      <c r="J7" s="16" t="n">
        <v>210</v>
      </c>
      <c r="K7" s="14" t="s">
        <v>191</v>
      </c>
      <c r="L7" s="16" t="n">
        <v>210040</v>
      </c>
      <c r="M7" s="14" t="s">
        <v>202</v>
      </c>
      <c r="N7" s="14" t="s">
        <v>214</v>
      </c>
      <c r="O7" s="16" t="n">
        <v>600</v>
      </c>
      <c r="P7" s="16" t="n">
        <v>370</v>
      </c>
      <c r="Q7" s="16" t="n">
        <v>1050</v>
      </c>
      <c r="R7" s="16" t="n">
        <v>630</v>
      </c>
      <c r="S7" s="17" t="b">
        <f aca="false">TRUE()</f>
        <v>1</v>
      </c>
      <c r="T7" s="16" t="n">
        <v>1</v>
      </c>
      <c r="U7" s="16" t="n">
        <v>1</v>
      </c>
      <c r="V7" s="16" t="n">
        <v>40</v>
      </c>
      <c r="W7" s="18" t="n">
        <v>2</v>
      </c>
      <c r="X7" s="18" t="n">
        <v>0.009</v>
      </c>
      <c r="Y7" s="19" t="n">
        <v>45716.4113541667</v>
      </c>
      <c r="Z7" s="16" t="n">
        <v>1</v>
      </c>
      <c r="AA7" s="14" t="s">
        <v>1282</v>
      </c>
      <c r="AB7" s="15"/>
      <c r="AC7" s="15"/>
      <c r="AD7" s="16" t="n">
        <v>60</v>
      </c>
      <c r="AE7" s="16" t="n">
        <v>37</v>
      </c>
      <c r="AF7" s="16" t="n">
        <v>105</v>
      </c>
      <c r="AG7" s="16" t="n">
        <v>63</v>
      </c>
      <c r="AH7" s="14" t="s">
        <v>411</v>
      </c>
      <c r="AI7" s="14" t="s">
        <v>411</v>
      </c>
      <c r="AJ7" s="14" t="s">
        <v>411</v>
      </c>
      <c r="AK7" s="14" t="s">
        <v>428</v>
      </c>
      <c r="AL7" s="17" t="b">
        <f aca="false">TRUE()</f>
        <v>1</v>
      </c>
      <c r="AM7" s="14" t="s">
        <v>445</v>
      </c>
      <c r="AN7" s="14" t="s">
        <v>454</v>
      </c>
    </row>
    <row r="8" customFormat="false" ht="15" hidden="false" customHeight="false" outlineLevel="0" collapsed="false">
      <c r="A8" s="14" t="s">
        <v>1291</v>
      </c>
      <c r="B8" s="14" t="s">
        <v>1292</v>
      </c>
      <c r="C8" s="14" t="s">
        <v>1293</v>
      </c>
      <c r="D8" s="16" t="n">
        <v>24341</v>
      </c>
      <c r="E8" s="14" t="s">
        <v>1279</v>
      </c>
      <c r="F8" s="14" t="s">
        <v>1280</v>
      </c>
      <c r="G8" s="14" t="s">
        <v>1294</v>
      </c>
      <c r="H8" s="15"/>
      <c r="I8" s="14" t="s">
        <v>184</v>
      </c>
      <c r="J8" s="16" t="n">
        <v>210</v>
      </c>
      <c r="K8" s="14" t="s">
        <v>191</v>
      </c>
      <c r="L8" s="16" t="n">
        <v>210040</v>
      </c>
      <c r="M8" s="14" t="s">
        <v>202</v>
      </c>
      <c r="N8" s="14" t="s">
        <v>214</v>
      </c>
      <c r="O8" s="16" t="n">
        <v>600</v>
      </c>
      <c r="P8" s="16" t="n">
        <v>360</v>
      </c>
      <c r="Q8" s="16" t="n">
        <v>1050</v>
      </c>
      <c r="R8" s="16" t="n">
        <v>600</v>
      </c>
      <c r="S8" s="17" t="b">
        <f aca="false">TRUE()</f>
        <v>1</v>
      </c>
      <c r="T8" s="16" t="n">
        <v>1</v>
      </c>
      <c r="U8" s="16" t="n">
        <v>1</v>
      </c>
      <c r="V8" s="16" t="n">
        <v>50</v>
      </c>
      <c r="W8" s="18" t="n">
        <v>2</v>
      </c>
      <c r="X8" s="18" t="n">
        <v>0.009</v>
      </c>
      <c r="Y8" s="19" t="n">
        <v>45716.4113541667</v>
      </c>
      <c r="Z8" s="16" t="n">
        <v>1</v>
      </c>
      <c r="AA8" s="14" t="s">
        <v>1282</v>
      </c>
      <c r="AB8" s="15"/>
      <c r="AC8" s="15"/>
      <c r="AD8" s="16" t="n">
        <v>60</v>
      </c>
      <c r="AE8" s="16" t="n">
        <v>36</v>
      </c>
      <c r="AF8" s="16" t="n">
        <v>105</v>
      </c>
      <c r="AG8" s="16" t="n">
        <v>60</v>
      </c>
      <c r="AH8" s="14" t="s">
        <v>411</v>
      </c>
      <c r="AI8" s="14" t="s">
        <v>411</v>
      </c>
      <c r="AJ8" s="14" t="s">
        <v>411</v>
      </c>
      <c r="AK8" s="14" t="s">
        <v>428</v>
      </c>
      <c r="AL8" s="17" t="b">
        <f aca="false">TRUE()</f>
        <v>1</v>
      </c>
      <c r="AM8" s="14" t="s">
        <v>445</v>
      </c>
      <c r="AN8" s="14" t="s">
        <v>454</v>
      </c>
    </row>
    <row r="9" customFormat="false" ht="15" hidden="false" customHeight="false" outlineLevel="0" collapsed="false">
      <c r="A9" s="14" t="s">
        <v>1295</v>
      </c>
      <c r="B9" s="14" t="s">
        <v>1296</v>
      </c>
      <c r="C9" s="14" t="s">
        <v>1297</v>
      </c>
      <c r="D9" s="16" t="n">
        <v>24341</v>
      </c>
      <c r="E9" s="14" t="s">
        <v>1279</v>
      </c>
      <c r="F9" s="14" t="s">
        <v>1280</v>
      </c>
      <c r="G9" s="14" t="s">
        <v>1298</v>
      </c>
      <c r="H9" s="15"/>
      <c r="I9" s="14" t="s">
        <v>184</v>
      </c>
      <c r="J9" s="16" t="n">
        <v>210</v>
      </c>
      <c r="K9" s="14" t="s">
        <v>191</v>
      </c>
      <c r="L9" s="16" t="n">
        <v>210040</v>
      </c>
      <c r="M9" s="14" t="s">
        <v>202</v>
      </c>
      <c r="N9" s="14" t="s">
        <v>214</v>
      </c>
      <c r="O9" s="16" t="n">
        <v>600</v>
      </c>
      <c r="P9" s="16" t="n">
        <v>340</v>
      </c>
      <c r="Q9" s="16" t="n">
        <v>1050</v>
      </c>
      <c r="R9" s="16" t="n">
        <v>570</v>
      </c>
      <c r="S9" s="17" t="b">
        <f aca="false">TRUE()</f>
        <v>1</v>
      </c>
      <c r="T9" s="16" t="n">
        <v>1</v>
      </c>
      <c r="U9" s="16" t="n">
        <v>1</v>
      </c>
      <c r="V9" s="16" t="n">
        <v>50</v>
      </c>
      <c r="W9" s="18" t="n">
        <v>1.5</v>
      </c>
      <c r="X9" s="18" t="n">
        <v>0.009</v>
      </c>
      <c r="Y9" s="19" t="n">
        <v>45716.4113541667</v>
      </c>
      <c r="Z9" s="16" t="n">
        <v>1</v>
      </c>
      <c r="AA9" s="14" t="s">
        <v>1282</v>
      </c>
      <c r="AB9" s="15"/>
      <c r="AC9" s="15"/>
      <c r="AD9" s="16" t="n">
        <v>60</v>
      </c>
      <c r="AE9" s="16" t="n">
        <v>34</v>
      </c>
      <c r="AF9" s="16" t="n">
        <v>105</v>
      </c>
      <c r="AG9" s="16" t="n">
        <v>57</v>
      </c>
      <c r="AH9" s="14" t="s">
        <v>411</v>
      </c>
      <c r="AI9" s="14" t="s">
        <v>411</v>
      </c>
      <c r="AJ9" s="14" t="s">
        <v>411</v>
      </c>
      <c r="AK9" s="14" t="s">
        <v>428</v>
      </c>
      <c r="AL9" s="17" t="b">
        <f aca="false">TRUE()</f>
        <v>1</v>
      </c>
      <c r="AM9" s="14" t="s">
        <v>445</v>
      </c>
      <c r="AN9" s="14" t="s">
        <v>454</v>
      </c>
    </row>
    <row r="10" customFormat="false" ht="15" hidden="false" customHeight="false" outlineLevel="0" collapsed="false">
      <c r="A10" s="14" t="s">
        <v>1299</v>
      </c>
      <c r="B10" s="14" t="s">
        <v>1300</v>
      </c>
      <c r="C10" s="14" t="s">
        <v>1301</v>
      </c>
      <c r="D10" s="16" t="n">
        <v>24144</v>
      </c>
      <c r="E10" s="14" t="s">
        <v>1302</v>
      </c>
      <c r="F10" s="14" t="s">
        <v>1303</v>
      </c>
      <c r="G10" s="14" t="s">
        <v>1304</v>
      </c>
      <c r="H10" s="15"/>
      <c r="I10" s="14" t="s">
        <v>1305</v>
      </c>
      <c r="J10" s="16" t="n">
        <v>10</v>
      </c>
      <c r="K10" s="14" t="s">
        <v>841</v>
      </c>
      <c r="L10" s="16" t="n">
        <v>10090</v>
      </c>
      <c r="M10" s="14" t="s">
        <v>850</v>
      </c>
      <c r="N10" s="14" t="s">
        <v>214</v>
      </c>
      <c r="O10" s="16" t="n">
        <v>2855</v>
      </c>
      <c r="P10" s="16" t="n">
        <v>1790</v>
      </c>
      <c r="Q10" s="16" t="n">
        <v>4990</v>
      </c>
      <c r="R10" s="16" t="n">
        <v>3090</v>
      </c>
      <c r="S10" s="17" t="b">
        <f aca="false">TRUE()</f>
        <v>1</v>
      </c>
      <c r="T10" s="16" t="n">
        <v>1</v>
      </c>
      <c r="U10" s="16" t="n">
        <v>1</v>
      </c>
      <c r="V10" s="16" t="n">
        <v>50</v>
      </c>
      <c r="W10" s="18" t="n">
        <v>10.15</v>
      </c>
      <c r="X10" s="18" t="n">
        <v>0.0587</v>
      </c>
      <c r="Y10" s="19" t="n">
        <v>45553.3141203704</v>
      </c>
      <c r="Z10" s="16" t="n">
        <v>1</v>
      </c>
      <c r="AA10" s="14" t="s">
        <v>1306</v>
      </c>
      <c r="AB10" s="15"/>
      <c r="AC10" s="15"/>
      <c r="AD10" s="15"/>
      <c r="AE10" s="15"/>
      <c r="AF10" s="15"/>
      <c r="AG10" s="15"/>
      <c r="AH10" s="15"/>
      <c r="AI10" s="14" t="s">
        <v>411</v>
      </c>
      <c r="AJ10" s="15"/>
      <c r="AK10" s="14" t="s">
        <v>428</v>
      </c>
      <c r="AL10" s="17" t="b">
        <f aca="false">TRUE()</f>
        <v>1</v>
      </c>
      <c r="AM10" s="14" t="s">
        <v>445</v>
      </c>
      <c r="AN10" s="14" t="s">
        <v>454</v>
      </c>
    </row>
    <row r="11" customFormat="false" ht="15" hidden="false" customHeight="false" outlineLevel="0" collapsed="false">
      <c r="A11" s="14" t="s">
        <v>1307</v>
      </c>
      <c r="B11" s="14" t="s">
        <v>1308</v>
      </c>
      <c r="C11" s="14" t="s">
        <v>1309</v>
      </c>
      <c r="D11" s="16" t="n">
        <v>24511</v>
      </c>
      <c r="E11" s="14" t="s">
        <v>1309</v>
      </c>
      <c r="F11" s="14" t="s">
        <v>1310</v>
      </c>
      <c r="G11" s="14" t="s">
        <v>1311</v>
      </c>
      <c r="H11" s="15"/>
      <c r="I11" s="14" t="s">
        <v>1305</v>
      </c>
      <c r="J11" s="16" t="n">
        <v>220</v>
      </c>
      <c r="K11" s="14" t="s">
        <v>1013</v>
      </c>
      <c r="L11" s="16" t="n">
        <v>220020</v>
      </c>
      <c r="M11" s="14" t="s">
        <v>1015</v>
      </c>
      <c r="N11" s="14" t="s">
        <v>1312</v>
      </c>
      <c r="O11" s="16" t="n">
        <v>1140</v>
      </c>
      <c r="P11" s="16" t="n">
        <v>710</v>
      </c>
      <c r="Q11" s="16" t="n">
        <v>1990</v>
      </c>
      <c r="R11" s="16" t="n">
        <v>1190</v>
      </c>
      <c r="S11" s="17" t="b">
        <f aca="false">TRUE()</f>
        <v>1</v>
      </c>
      <c r="T11" s="16" t="n">
        <v>1</v>
      </c>
      <c r="U11" s="16" t="n">
        <v>1</v>
      </c>
      <c r="V11" s="16" t="n">
        <v>30</v>
      </c>
      <c r="W11" s="18" t="n">
        <v>0.16</v>
      </c>
      <c r="X11" s="18" t="n">
        <v>0.001</v>
      </c>
      <c r="Y11" s="19" t="n">
        <v>45273.9173148148</v>
      </c>
      <c r="Z11" s="16" t="n">
        <v>1</v>
      </c>
      <c r="AA11" s="14" t="s">
        <v>1313</v>
      </c>
      <c r="AB11" s="15"/>
      <c r="AC11" s="15"/>
      <c r="AD11" s="15"/>
      <c r="AE11" s="15"/>
      <c r="AF11" s="15"/>
      <c r="AG11" s="15"/>
      <c r="AH11" s="15"/>
      <c r="AI11" s="14" t="s">
        <v>411</v>
      </c>
      <c r="AJ11" s="15"/>
      <c r="AK11" s="14" t="s">
        <v>428</v>
      </c>
      <c r="AL11" s="17" t="b">
        <f aca="false">FALSE()</f>
        <v>0</v>
      </c>
      <c r="AM11" s="14" t="s">
        <v>445</v>
      </c>
      <c r="AN11" s="14" t="s">
        <v>454</v>
      </c>
    </row>
  </sheetData>
  <autoFilter ref="A1:AN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70"/>
  </cols>
  <sheetData>
    <row r="1" customFormat="false" ht="30" hidden="false" customHeight="true" outlineLevel="0" collapsed="false">
      <c r="A1" s="20" t="s">
        <v>118</v>
      </c>
      <c r="B1" s="20" t="s">
        <v>554</v>
      </c>
      <c r="C1" s="20" t="s">
        <v>558</v>
      </c>
      <c r="D1" s="20" t="s">
        <v>561</v>
      </c>
      <c r="E1" s="20" t="s">
        <v>73</v>
      </c>
      <c r="F1" s="20" t="s">
        <v>459</v>
      </c>
      <c r="G1" s="20" t="s">
        <v>152</v>
      </c>
    </row>
    <row r="2" customFormat="false" ht="15" hidden="false" customHeight="false" outlineLevel="0" collapsed="false">
      <c r="A2" s="14" t="s">
        <v>117</v>
      </c>
      <c r="B2" s="14" t="s">
        <v>824</v>
      </c>
      <c r="C2" s="14" t="s">
        <v>824</v>
      </c>
      <c r="D2" s="15"/>
      <c r="E2" s="14" t="s">
        <v>1314</v>
      </c>
      <c r="F2" s="16" t="n">
        <v>1</v>
      </c>
      <c r="G2" s="14" t="s">
        <v>314</v>
      </c>
    </row>
    <row r="3" customFormat="false" ht="15" hidden="false" customHeight="false" outlineLevel="0" collapsed="false">
      <c r="A3" s="14" t="s">
        <v>117</v>
      </c>
      <c r="B3" s="14" t="s">
        <v>826</v>
      </c>
      <c r="C3" s="14" t="s">
        <v>826</v>
      </c>
      <c r="D3" s="15"/>
      <c r="E3" s="14" t="s">
        <v>1315</v>
      </c>
      <c r="F3" s="16" t="n">
        <v>2</v>
      </c>
      <c r="G3" s="14" t="s">
        <v>1316</v>
      </c>
    </row>
    <row r="4" customFormat="false" ht="15" hidden="false" customHeight="false" outlineLevel="0" collapsed="false">
      <c r="A4" s="14" t="s">
        <v>117</v>
      </c>
      <c r="B4" s="14" t="s">
        <v>828</v>
      </c>
      <c r="C4" s="14" t="s">
        <v>828</v>
      </c>
      <c r="D4" s="15"/>
      <c r="E4" s="14" t="s">
        <v>1314</v>
      </c>
      <c r="F4" s="16" t="n">
        <v>3</v>
      </c>
      <c r="G4" s="14" t="s">
        <v>1317</v>
      </c>
    </row>
    <row r="5" customFormat="false" ht="15" hidden="false" customHeight="false" outlineLevel="0" collapsed="false">
      <c r="A5" s="14" t="s">
        <v>117</v>
      </c>
      <c r="B5" s="14" t="s">
        <v>830</v>
      </c>
      <c r="C5" s="14" t="s">
        <v>830</v>
      </c>
      <c r="D5" s="15"/>
      <c r="E5" s="14" t="s">
        <v>1315</v>
      </c>
      <c r="F5" s="16" t="n">
        <v>4</v>
      </c>
      <c r="G5" s="14" t="s">
        <v>1318</v>
      </c>
    </row>
    <row r="6" customFormat="false" ht="15" hidden="false" customHeight="false" outlineLevel="0" collapsed="false">
      <c r="A6" s="14" t="s">
        <v>117</v>
      </c>
      <c r="B6" s="14" t="s">
        <v>1319</v>
      </c>
      <c r="C6" s="14" t="s">
        <v>1320</v>
      </c>
      <c r="D6" s="16" t="n">
        <v>1</v>
      </c>
      <c r="E6" s="14" t="s">
        <v>1314</v>
      </c>
      <c r="F6" s="16" t="n">
        <v>5</v>
      </c>
      <c r="G6" s="14" t="s">
        <v>1321</v>
      </c>
    </row>
    <row r="7" customFormat="false" ht="15" hidden="false" customHeight="false" outlineLevel="0" collapsed="false">
      <c r="A7" s="14" t="s">
        <v>117</v>
      </c>
      <c r="B7" s="14" t="s">
        <v>1322</v>
      </c>
      <c r="C7" s="14" t="s">
        <v>1320</v>
      </c>
      <c r="D7" s="16" t="n">
        <v>2</v>
      </c>
      <c r="E7" s="14" t="s">
        <v>1314</v>
      </c>
      <c r="F7" s="16" t="n">
        <v>6</v>
      </c>
      <c r="G7" s="14" t="s">
        <v>1323</v>
      </c>
    </row>
    <row r="8" customFormat="false" ht="15" hidden="false" customHeight="false" outlineLevel="0" collapsed="false">
      <c r="A8" s="14" t="s">
        <v>117</v>
      </c>
      <c r="B8" s="14" t="s">
        <v>1324</v>
      </c>
      <c r="C8" s="14" t="s">
        <v>1320</v>
      </c>
      <c r="D8" s="16" t="n">
        <v>3</v>
      </c>
      <c r="E8" s="14" t="s">
        <v>1314</v>
      </c>
      <c r="F8" s="16" t="n">
        <v>7</v>
      </c>
      <c r="G8" s="14" t="s">
        <v>1325</v>
      </c>
    </row>
    <row r="9" customFormat="false" ht="15" hidden="false" customHeight="false" outlineLevel="0" collapsed="false">
      <c r="A9" s="14" t="s">
        <v>1268</v>
      </c>
      <c r="B9" s="14" t="s">
        <v>824</v>
      </c>
      <c r="C9" s="14" t="s">
        <v>824</v>
      </c>
      <c r="D9" s="15"/>
      <c r="E9" s="14" t="s">
        <v>1314</v>
      </c>
      <c r="F9" s="16" t="n">
        <v>1</v>
      </c>
      <c r="G9" s="14" t="s">
        <v>314</v>
      </c>
    </row>
    <row r="10" customFormat="false" ht="15" hidden="false" customHeight="false" outlineLevel="0" collapsed="false">
      <c r="A10" s="14" t="s">
        <v>1268</v>
      </c>
      <c r="B10" s="14" t="s">
        <v>826</v>
      </c>
      <c r="C10" s="14" t="s">
        <v>826</v>
      </c>
      <c r="D10" s="15"/>
      <c r="E10" s="14" t="s">
        <v>1315</v>
      </c>
      <c r="F10" s="16" t="n">
        <v>2</v>
      </c>
      <c r="G10" s="14" t="s">
        <v>1326</v>
      </c>
    </row>
    <row r="11" customFormat="false" ht="15" hidden="false" customHeight="false" outlineLevel="0" collapsed="false">
      <c r="A11" s="14" t="s">
        <v>1268</v>
      </c>
      <c r="B11" s="14" t="s">
        <v>828</v>
      </c>
      <c r="C11" s="14" t="s">
        <v>828</v>
      </c>
      <c r="D11" s="15"/>
      <c r="E11" s="14" t="s">
        <v>1314</v>
      </c>
      <c r="F11" s="16" t="n">
        <v>3</v>
      </c>
      <c r="G11" s="14" t="s">
        <v>1317</v>
      </c>
    </row>
    <row r="12" customFormat="false" ht="15" hidden="false" customHeight="false" outlineLevel="0" collapsed="false">
      <c r="A12" s="14" t="s">
        <v>1268</v>
      </c>
      <c r="B12" s="14" t="s">
        <v>830</v>
      </c>
      <c r="C12" s="14" t="s">
        <v>830</v>
      </c>
      <c r="D12" s="15"/>
      <c r="E12" s="14" t="s">
        <v>1315</v>
      </c>
      <c r="F12" s="16" t="n">
        <v>4</v>
      </c>
      <c r="G12" s="14" t="s">
        <v>1327</v>
      </c>
    </row>
    <row r="13" customFormat="false" ht="15" hidden="false" customHeight="false" outlineLevel="0" collapsed="false">
      <c r="A13" s="14" t="s">
        <v>1268</v>
      </c>
      <c r="B13" s="14" t="s">
        <v>1319</v>
      </c>
      <c r="C13" s="14" t="s">
        <v>1320</v>
      </c>
      <c r="D13" s="16" t="n">
        <v>1</v>
      </c>
      <c r="E13" s="14" t="s">
        <v>1314</v>
      </c>
      <c r="F13" s="16" t="n">
        <v>5</v>
      </c>
      <c r="G13" s="14" t="s">
        <v>1321</v>
      </c>
    </row>
    <row r="14" customFormat="false" ht="15" hidden="false" customHeight="false" outlineLevel="0" collapsed="false">
      <c r="A14" s="14" t="s">
        <v>1268</v>
      </c>
      <c r="B14" s="14" t="s">
        <v>1322</v>
      </c>
      <c r="C14" s="14" t="s">
        <v>1320</v>
      </c>
      <c r="D14" s="16" t="n">
        <v>2</v>
      </c>
      <c r="E14" s="14" t="s">
        <v>1314</v>
      </c>
      <c r="F14" s="16" t="n">
        <v>6</v>
      </c>
      <c r="G14" s="14" t="s">
        <v>1323</v>
      </c>
    </row>
    <row r="15" customFormat="false" ht="15" hidden="false" customHeight="false" outlineLevel="0" collapsed="false">
      <c r="A15" s="14" t="s">
        <v>1268</v>
      </c>
      <c r="B15" s="14" t="s">
        <v>1324</v>
      </c>
      <c r="C15" s="14" t="s">
        <v>1320</v>
      </c>
      <c r="D15" s="16" t="n">
        <v>3</v>
      </c>
      <c r="E15" s="14" t="s">
        <v>1314</v>
      </c>
      <c r="F15" s="16" t="n">
        <v>7</v>
      </c>
      <c r="G15" s="14" t="s">
        <v>1325</v>
      </c>
    </row>
    <row r="16" customFormat="false" ht="15" hidden="false" customHeight="false" outlineLevel="0" collapsed="false">
      <c r="A16" s="14" t="s">
        <v>1272</v>
      </c>
      <c r="B16" s="14" t="s">
        <v>824</v>
      </c>
      <c r="C16" s="14" t="s">
        <v>824</v>
      </c>
      <c r="D16" s="15"/>
      <c r="E16" s="14" t="s">
        <v>1314</v>
      </c>
      <c r="F16" s="16" t="n">
        <v>1</v>
      </c>
      <c r="G16" s="14" t="s">
        <v>314</v>
      </c>
    </row>
    <row r="17" customFormat="false" ht="15" hidden="false" customHeight="false" outlineLevel="0" collapsed="false">
      <c r="A17" s="14" t="s">
        <v>1272</v>
      </c>
      <c r="B17" s="14" t="s">
        <v>826</v>
      </c>
      <c r="C17" s="14" t="s">
        <v>826</v>
      </c>
      <c r="D17" s="15"/>
      <c r="E17" s="14" t="s">
        <v>1315</v>
      </c>
      <c r="F17" s="16" t="n">
        <v>2</v>
      </c>
      <c r="G17" s="14" t="s">
        <v>1328</v>
      </c>
    </row>
    <row r="18" customFormat="false" ht="15" hidden="false" customHeight="false" outlineLevel="0" collapsed="false">
      <c r="A18" s="14" t="s">
        <v>1272</v>
      </c>
      <c r="B18" s="14" t="s">
        <v>828</v>
      </c>
      <c r="C18" s="14" t="s">
        <v>828</v>
      </c>
      <c r="D18" s="15"/>
      <c r="E18" s="14" t="s">
        <v>1314</v>
      </c>
      <c r="F18" s="16" t="n">
        <v>3</v>
      </c>
      <c r="G18" s="14" t="s">
        <v>1317</v>
      </c>
    </row>
    <row r="19" customFormat="false" ht="15" hidden="false" customHeight="false" outlineLevel="0" collapsed="false">
      <c r="A19" s="14" t="s">
        <v>1272</v>
      </c>
      <c r="B19" s="14" t="s">
        <v>830</v>
      </c>
      <c r="C19" s="14" t="s">
        <v>830</v>
      </c>
      <c r="D19" s="15"/>
      <c r="E19" s="14" t="s">
        <v>1315</v>
      </c>
      <c r="F19" s="16" t="n">
        <v>4</v>
      </c>
      <c r="G19" s="14" t="s">
        <v>1329</v>
      </c>
    </row>
    <row r="20" customFormat="false" ht="15" hidden="false" customHeight="false" outlineLevel="0" collapsed="false">
      <c r="A20" s="14" t="s">
        <v>1272</v>
      </c>
      <c r="B20" s="14" t="s">
        <v>1319</v>
      </c>
      <c r="C20" s="14" t="s">
        <v>1320</v>
      </c>
      <c r="D20" s="16" t="n">
        <v>1</v>
      </c>
      <c r="E20" s="14" t="s">
        <v>1314</v>
      </c>
      <c r="F20" s="16" t="n">
        <v>5</v>
      </c>
      <c r="G20" s="14" t="s">
        <v>1321</v>
      </c>
    </row>
    <row r="21" customFormat="false" ht="15" hidden="false" customHeight="false" outlineLevel="0" collapsed="false">
      <c r="A21" s="14" t="s">
        <v>1272</v>
      </c>
      <c r="B21" s="14" t="s">
        <v>1322</v>
      </c>
      <c r="C21" s="14" t="s">
        <v>1320</v>
      </c>
      <c r="D21" s="16" t="n">
        <v>2</v>
      </c>
      <c r="E21" s="14" t="s">
        <v>1314</v>
      </c>
      <c r="F21" s="16" t="n">
        <v>6</v>
      </c>
      <c r="G21" s="14" t="s">
        <v>1323</v>
      </c>
    </row>
    <row r="22" customFormat="false" ht="15" hidden="false" customHeight="false" outlineLevel="0" collapsed="false">
      <c r="A22" s="14" t="s">
        <v>1272</v>
      </c>
      <c r="B22" s="14" t="s">
        <v>1324</v>
      </c>
      <c r="C22" s="14" t="s">
        <v>1320</v>
      </c>
      <c r="D22" s="16" t="n">
        <v>3</v>
      </c>
      <c r="E22" s="14" t="s">
        <v>1314</v>
      </c>
      <c r="F22" s="16" t="n">
        <v>7</v>
      </c>
      <c r="G22" s="14" t="s">
        <v>1325</v>
      </c>
    </row>
    <row r="23" customFormat="false" ht="15" hidden="false" customHeight="false" outlineLevel="0" collapsed="false">
      <c r="A23" s="14" t="s">
        <v>1276</v>
      </c>
      <c r="B23" s="14" t="s">
        <v>824</v>
      </c>
      <c r="C23" s="14" t="s">
        <v>824</v>
      </c>
      <c r="D23" s="15"/>
      <c r="E23" s="14" t="s">
        <v>1314</v>
      </c>
      <c r="F23" s="16" t="n">
        <v>1</v>
      </c>
      <c r="G23" s="14" t="s">
        <v>1330</v>
      </c>
    </row>
    <row r="24" customFormat="false" ht="15" hidden="false" customHeight="false" outlineLevel="0" collapsed="false">
      <c r="A24" s="14" t="s">
        <v>1276</v>
      </c>
      <c r="B24" s="14" t="s">
        <v>826</v>
      </c>
      <c r="C24" s="14" t="s">
        <v>826</v>
      </c>
      <c r="D24" s="15"/>
      <c r="E24" s="14" t="s">
        <v>1315</v>
      </c>
      <c r="F24" s="16" t="n">
        <v>2</v>
      </c>
      <c r="G24" s="14" t="s">
        <v>1331</v>
      </c>
    </row>
    <row r="25" customFormat="false" ht="15" hidden="false" customHeight="false" outlineLevel="0" collapsed="false">
      <c r="A25" s="14" t="s">
        <v>1276</v>
      </c>
      <c r="B25" s="14" t="s">
        <v>828</v>
      </c>
      <c r="C25" s="14" t="s">
        <v>828</v>
      </c>
      <c r="D25" s="15"/>
      <c r="E25" s="14" t="s">
        <v>1314</v>
      </c>
      <c r="F25" s="16" t="n">
        <v>3</v>
      </c>
      <c r="G25" s="14" t="s">
        <v>1332</v>
      </c>
    </row>
    <row r="26" customFormat="false" ht="15" hidden="false" customHeight="false" outlineLevel="0" collapsed="false">
      <c r="A26" s="14" t="s">
        <v>1276</v>
      </c>
      <c r="B26" s="14" t="s">
        <v>830</v>
      </c>
      <c r="C26" s="14" t="s">
        <v>830</v>
      </c>
      <c r="D26" s="15"/>
      <c r="E26" s="14" t="s">
        <v>1315</v>
      </c>
      <c r="F26" s="16" t="n">
        <v>4</v>
      </c>
      <c r="G26" s="14" t="s">
        <v>1333</v>
      </c>
    </row>
    <row r="27" customFormat="false" ht="15" hidden="false" customHeight="false" outlineLevel="0" collapsed="false">
      <c r="A27" s="14" t="s">
        <v>1276</v>
      </c>
      <c r="B27" s="14" t="s">
        <v>1319</v>
      </c>
      <c r="C27" s="14" t="s">
        <v>1320</v>
      </c>
      <c r="D27" s="16" t="n">
        <v>1</v>
      </c>
      <c r="E27" s="14" t="s">
        <v>1314</v>
      </c>
      <c r="F27" s="16" t="n">
        <v>5</v>
      </c>
      <c r="G27" s="14" t="s">
        <v>1334</v>
      </c>
    </row>
    <row r="28" customFormat="false" ht="15" hidden="false" customHeight="false" outlineLevel="0" collapsed="false">
      <c r="A28" s="14" t="s">
        <v>1276</v>
      </c>
      <c r="B28" s="14" t="s">
        <v>1322</v>
      </c>
      <c r="C28" s="14" t="s">
        <v>1320</v>
      </c>
      <c r="D28" s="16" t="n">
        <v>2</v>
      </c>
      <c r="E28" s="14" t="s">
        <v>1314</v>
      </c>
      <c r="F28" s="16" t="n">
        <v>6</v>
      </c>
      <c r="G28" s="14" t="s">
        <v>1335</v>
      </c>
    </row>
    <row r="29" customFormat="false" ht="15" hidden="false" customHeight="false" outlineLevel="0" collapsed="false">
      <c r="A29" s="14" t="s">
        <v>1276</v>
      </c>
      <c r="B29" s="14" t="s">
        <v>1324</v>
      </c>
      <c r="C29" s="14" t="s">
        <v>1320</v>
      </c>
      <c r="D29" s="16" t="n">
        <v>3</v>
      </c>
      <c r="E29" s="14" t="s">
        <v>1314</v>
      </c>
      <c r="F29" s="16" t="n">
        <v>7</v>
      </c>
      <c r="G29" s="14" t="s">
        <v>1336</v>
      </c>
    </row>
    <row r="30" customFormat="false" ht="15" hidden="false" customHeight="false" outlineLevel="0" collapsed="false">
      <c r="A30" s="14" t="s">
        <v>1276</v>
      </c>
      <c r="B30" s="14" t="s">
        <v>1337</v>
      </c>
      <c r="C30" s="14" t="s">
        <v>1320</v>
      </c>
      <c r="D30" s="16" t="n">
        <v>4</v>
      </c>
      <c r="E30" s="14" t="s">
        <v>1314</v>
      </c>
      <c r="F30" s="16" t="n">
        <v>8</v>
      </c>
      <c r="G30" s="14" t="s">
        <v>1338</v>
      </c>
    </row>
    <row r="31" customFormat="false" ht="15" hidden="false" customHeight="false" outlineLevel="0" collapsed="false">
      <c r="A31" s="14" t="s">
        <v>1276</v>
      </c>
      <c r="B31" s="14" t="s">
        <v>1339</v>
      </c>
      <c r="C31" s="14" t="s">
        <v>1320</v>
      </c>
      <c r="D31" s="16" t="n">
        <v>5</v>
      </c>
      <c r="E31" s="14" t="s">
        <v>1314</v>
      </c>
      <c r="F31" s="16" t="n">
        <v>9</v>
      </c>
      <c r="G31" s="14" t="s">
        <v>1340</v>
      </c>
    </row>
    <row r="32" customFormat="false" ht="15" hidden="false" customHeight="false" outlineLevel="0" collapsed="false">
      <c r="A32" s="14" t="s">
        <v>1276</v>
      </c>
      <c r="B32" s="14" t="s">
        <v>1341</v>
      </c>
      <c r="C32" s="14" t="s">
        <v>1320</v>
      </c>
      <c r="D32" s="16" t="n">
        <v>6</v>
      </c>
      <c r="E32" s="14" t="s">
        <v>1314</v>
      </c>
      <c r="F32" s="16" t="n">
        <v>10</v>
      </c>
      <c r="G32" s="14" t="s">
        <v>1342</v>
      </c>
    </row>
    <row r="33" customFormat="false" ht="15" hidden="false" customHeight="false" outlineLevel="0" collapsed="false">
      <c r="A33" s="14" t="s">
        <v>1283</v>
      </c>
      <c r="B33" s="14" t="s">
        <v>824</v>
      </c>
      <c r="C33" s="14" t="s">
        <v>824</v>
      </c>
      <c r="D33" s="15"/>
      <c r="E33" s="14" t="s">
        <v>1314</v>
      </c>
      <c r="F33" s="16" t="n">
        <v>1</v>
      </c>
      <c r="G33" s="14" t="s">
        <v>1330</v>
      </c>
    </row>
    <row r="34" customFormat="false" ht="15" hidden="false" customHeight="false" outlineLevel="0" collapsed="false">
      <c r="A34" s="14" t="s">
        <v>1283</v>
      </c>
      <c r="B34" s="14" t="s">
        <v>826</v>
      </c>
      <c r="C34" s="14" t="s">
        <v>826</v>
      </c>
      <c r="D34" s="15"/>
      <c r="E34" s="14" t="s">
        <v>1315</v>
      </c>
      <c r="F34" s="16" t="n">
        <v>2</v>
      </c>
      <c r="G34" s="14" t="s">
        <v>1343</v>
      </c>
    </row>
    <row r="35" customFormat="false" ht="15" hidden="false" customHeight="false" outlineLevel="0" collapsed="false">
      <c r="A35" s="14" t="s">
        <v>1283</v>
      </c>
      <c r="B35" s="14" t="s">
        <v>828</v>
      </c>
      <c r="C35" s="14" t="s">
        <v>828</v>
      </c>
      <c r="D35" s="15"/>
      <c r="E35" s="14" t="s">
        <v>1314</v>
      </c>
      <c r="F35" s="16" t="n">
        <v>3</v>
      </c>
      <c r="G35" s="14" t="s">
        <v>1332</v>
      </c>
    </row>
    <row r="36" customFormat="false" ht="15" hidden="false" customHeight="false" outlineLevel="0" collapsed="false">
      <c r="A36" s="14" t="s">
        <v>1283</v>
      </c>
      <c r="B36" s="14" t="s">
        <v>830</v>
      </c>
      <c r="C36" s="14" t="s">
        <v>830</v>
      </c>
      <c r="D36" s="15"/>
      <c r="E36" s="14" t="s">
        <v>1315</v>
      </c>
      <c r="F36" s="16" t="n">
        <v>4</v>
      </c>
      <c r="G36" s="14" t="s">
        <v>1344</v>
      </c>
    </row>
    <row r="37" customFormat="false" ht="15" hidden="false" customHeight="false" outlineLevel="0" collapsed="false">
      <c r="A37" s="14" t="s">
        <v>1283</v>
      </c>
      <c r="B37" s="14" t="s">
        <v>1319</v>
      </c>
      <c r="C37" s="14" t="s">
        <v>1320</v>
      </c>
      <c r="D37" s="16" t="n">
        <v>1</v>
      </c>
      <c r="E37" s="14" t="s">
        <v>1314</v>
      </c>
      <c r="F37" s="16" t="n">
        <v>5</v>
      </c>
      <c r="G37" s="14" t="s">
        <v>1334</v>
      </c>
    </row>
    <row r="38" customFormat="false" ht="15" hidden="false" customHeight="false" outlineLevel="0" collapsed="false">
      <c r="A38" s="14" t="s">
        <v>1283</v>
      </c>
      <c r="B38" s="14" t="s">
        <v>1322</v>
      </c>
      <c r="C38" s="14" t="s">
        <v>1320</v>
      </c>
      <c r="D38" s="16" t="n">
        <v>2</v>
      </c>
      <c r="E38" s="14" t="s">
        <v>1314</v>
      </c>
      <c r="F38" s="16" t="n">
        <v>6</v>
      </c>
      <c r="G38" s="14" t="s">
        <v>1335</v>
      </c>
    </row>
    <row r="39" customFormat="false" ht="15" hidden="false" customHeight="false" outlineLevel="0" collapsed="false">
      <c r="A39" s="14" t="s">
        <v>1283</v>
      </c>
      <c r="B39" s="14" t="s">
        <v>1324</v>
      </c>
      <c r="C39" s="14" t="s">
        <v>1320</v>
      </c>
      <c r="D39" s="16" t="n">
        <v>3</v>
      </c>
      <c r="E39" s="14" t="s">
        <v>1314</v>
      </c>
      <c r="F39" s="16" t="n">
        <v>7</v>
      </c>
      <c r="G39" s="14" t="s">
        <v>1336</v>
      </c>
    </row>
    <row r="40" customFormat="false" ht="15" hidden="false" customHeight="false" outlineLevel="0" collapsed="false">
      <c r="A40" s="14" t="s">
        <v>1283</v>
      </c>
      <c r="B40" s="14" t="s">
        <v>1337</v>
      </c>
      <c r="C40" s="14" t="s">
        <v>1320</v>
      </c>
      <c r="D40" s="16" t="n">
        <v>4</v>
      </c>
      <c r="E40" s="14" t="s">
        <v>1314</v>
      </c>
      <c r="F40" s="16" t="n">
        <v>8</v>
      </c>
      <c r="G40" s="14" t="s">
        <v>1338</v>
      </c>
    </row>
    <row r="41" customFormat="false" ht="15" hidden="false" customHeight="false" outlineLevel="0" collapsed="false">
      <c r="A41" s="14" t="s">
        <v>1283</v>
      </c>
      <c r="B41" s="14" t="s">
        <v>1339</v>
      </c>
      <c r="C41" s="14" t="s">
        <v>1320</v>
      </c>
      <c r="D41" s="16" t="n">
        <v>5</v>
      </c>
      <c r="E41" s="14" t="s">
        <v>1314</v>
      </c>
      <c r="F41" s="16" t="n">
        <v>9</v>
      </c>
      <c r="G41" s="14" t="s">
        <v>1340</v>
      </c>
    </row>
    <row r="42" customFormat="false" ht="15" hidden="false" customHeight="false" outlineLevel="0" collapsed="false">
      <c r="A42" s="14" t="s">
        <v>1283</v>
      </c>
      <c r="B42" s="14" t="s">
        <v>1341</v>
      </c>
      <c r="C42" s="14" t="s">
        <v>1320</v>
      </c>
      <c r="D42" s="16" t="n">
        <v>6</v>
      </c>
      <c r="E42" s="14" t="s">
        <v>1314</v>
      </c>
      <c r="F42" s="16" t="n">
        <v>10</v>
      </c>
      <c r="G42" s="14" t="s">
        <v>1342</v>
      </c>
    </row>
    <row r="43" customFormat="false" ht="15" hidden="false" customHeight="false" outlineLevel="0" collapsed="false">
      <c r="A43" s="14" t="s">
        <v>1287</v>
      </c>
      <c r="B43" s="14" t="s">
        <v>824</v>
      </c>
      <c r="C43" s="14" t="s">
        <v>824</v>
      </c>
      <c r="D43" s="15"/>
      <c r="E43" s="14" t="s">
        <v>1314</v>
      </c>
      <c r="F43" s="16" t="n">
        <v>1</v>
      </c>
      <c r="G43" s="14" t="s">
        <v>1330</v>
      </c>
    </row>
    <row r="44" customFormat="false" ht="15" hidden="false" customHeight="false" outlineLevel="0" collapsed="false">
      <c r="A44" s="14" t="s">
        <v>1287</v>
      </c>
      <c r="B44" s="14" t="s">
        <v>826</v>
      </c>
      <c r="C44" s="14" t="s">
        <v>826</v>
      </c>
      <c r="D44" s="15"/>
      <c r="E44" s="14" t="s">
        <v>1315</v>
      </c>
      <c r="F44" s="16" t="n">
        <v>2</v>
      </c>
      <c r="G44" s="14" t="s">
        <v>1345</v>
      </c>
    </row>
    <row r="45" customFormat="false" ht="15" hidden="false" customHeight="false" outlineLevel="0" collapsed="false">
      <c r="A45" s="14" t="s">
        <v>1287</v>
      </c>
      <c r="B45" s="14" t="s">
        <v>828</v>
      </c>
      <c r="C45" s="14" t="s">
        <v>828</v>
      </c>
      <c r="D45" s="15"/>
      <c r="E45" s="14" t="s">
        <v>1314</v>
      </c>
      <c r="F45" s="16" t="n">
        <v>3</v>
      </c>
      <c r="G45" s="14" t="s">
        <v>1332</v>
      </c>
    </row>
    <row r="46" customFormat="false" ht="15" hidden="false" customHeight="false" outlineLevel="0" collapsed="false">
      <c r="A46" s="14" t="s">
        <v>1287</v>
      </c>
      <c r="B46" s="14" t="s">
        <v>830</v>
      </c>
      <c r="C46" s="14" t="s">
        <v>830</v>
      </c>
      <c r="D46" s="15"/>
      <c r="E46" s="14" t="s">
        <v>1315</v>
      </c>
      <c r="F46" s="16" t="n">
        <v>4</v>
      </c>
      <c r="G46" s="14" t="s">
        <v>1346</v>
      </c>
    </row>
    <row r="47" customFormat="false" ht="15" hidden="false" customHeight="false" outlineLevel="0" collapsed="false">
      <c r="A47" s="14" t="s">
        <v>1287</v>
      </c>
      <c r="B47" s="14" t="s">
        <v>1319</v>
      </c>
      <c r="C47" s="14" t="s">
        <v>1320</v>
      </c>
      <c r="D47" s="16" t="n">
        <v>1</v>
      </c>
      <c r="E47" s="14" t="s">
        <v>1314</v>
      </c>
      <c r="F47" s="16" t="n">
        <v>5</v>
      </c>
      <c r="G47" s="14" t="s">
        <v>1334</v>
      </c>
    </row>
    <row r="48" customFormat="false" ht="15" hidden="false" customHeight="false" outlineLevel="0" collapsed="false">
      <c r="A48" s="14" t="s">
        <v>1287</v>
      </c>
      <c r="B48" s="14" t="s">
        <v>1322</v>
      </c>
      <c r="C48" s="14" t="s">
        <v>1320</v>
      </c>
      <c r="D48" s="16" t="n">
        <v>2</v>
      </c>
      <c r="E48" s="14" t="s">
        <v>1314</v>
      </c>
      <c r="F48" s="16" t="n">
        <v>6</v>
      </c>
      <c r="G48" s="14" t="s">
        <v>1335</v>
      </c>
    </row>
    <row r="49" customFormat="false" ht="15" hidden="false" customHeight="false" outlineLevel="0" collapsed="false">
      <c r="A49" s="14" t="s">
        <v>1287</v>
      </c>
      <c r="B49" s="14" t="s">
        <v>1324</v>
      </c>
      <c r="C49" s="14" t="s">
        <v>1320</v>
      </c>
      <c r="D49" s="16" t="n">
        <v>3</v>
      </c>
      <c r="E49" s="14" t="s">
        <v>1314</v>
      </c>
      <c r="F49" s="16" t="n">
        <v>7</v>
      </c>
      <c r="G49" s="14" t="s">
        <v>1336</v>
      </c>
    </row>
    <row r="50" customFormat="false" ht="15" hidden="false" customHeight="false" outlineLevel="0" collapsed="false">
      <c r="A50" s="14" t="s">
        <v>1287</v>
      </c>
      <c r="B50" s="14" t="s">
        <v>1337</v>
      </c>
      <c r="C50" s="14" t="s">
        <v>1320</v>
      </c>
      <c r="D50" s="16" t="n">
        <v>4</v>
      </c>
      <c r="E50" s="14" t="s">
        <v>1314</v>
      </c>
      <c r="F50" s="16" t="n">
        <v>8</v>
      </c>
      <c r="G50" s="14" t="s">
        <v>1338</v>
      </c>
    </row>
    <row r="51" customFormat="false" ht="15" hidden="false" customHeight="false" outlineLevel="0" collapsed="false">
      <c r="A51" s="14" t="s">
        <v>1287</v>
      </c>
      <c r="B51" s="14" t="s">
        <v>1339</v>
      </c>
      <c r="C51" s="14" t="s">
        <v>1320</v>
      </c>
      <c r="D51" s="16" t="n">
        <v>5</v>
      </c>
      <c r="E51" s="14" t="s">
        <v>1314</v>
      </c>
      <c r="F51" s="16" t="n">
        <v>9</v>
      </c>
      <c r="G51" s="14" t="s">
        <v>1340</v>
      </c>
    </row>
    <row r="52" customFormat="false" ht="15" hidden="false" customHeight="false" outlineLevel="0" collapsed="false">
      <c r="A52" s="14" t="s">
        <v>1287</v>
      </c>
      <c r="B52" s="14" t="s">
        <v>1341</v>
      </c>
      <c r="C52" s="14" t="s">
        <v>1320</v>
      </c>
      <c r="D52" s="16" t="n">
        <v>6</v>
      </c>
      <c r="E52" s="14" t="s">
        <v>1314</v>
      </c>
      <c r="F52" s="16" t="n">
        <v>10</v>
      </c>
      <c r="G52" s="14" t="s">
        <v>1342</v>
      </c>
    </row>
    <row r="53" customFormat="false" ht="15" hidden="false" customHeight="false" outlineLevel="0" collapsed="false">
      <c r="A53" s="14" t="s">
        <v>1291</v>
      </c>
      <c r="B53" s="14" t="s">
        <v>824</v>
      </c>
      <c r="C53" s="14" t="s">
        <v>824</v>
      </c>
      <c r="D53" s="15"/>
      <c r="E53" s="14" t="s">
        <v>1314</v>
      </c>
      <c r="F53" s="16" t="n">
        <v>1</v>
      </c>
      <c r="G53" s="14" t="s">
        <v>1330</v>
      </c>
    </row>
    <row r="54" customFormat="false" ht="15" hidden="false" customHeight="false" outlineLevel="0" collapsed="false">
      <c r="A54" s="14" t="s">
        <v>1291</v>
      </c>
      <c r="B54" s="14" t="s">
        <v>826</v>
      </c>
      <c r="C54" s="14" t="s">
        <v>826</v>
      </c>
      <c r="D54" s="15"/>
      <c r="E54" s="14" t="s">
        <v>1315</v>
      </c>
      <c r="F54" s="16" t="n">
        <v>2</v>
      </c>
      <c r="G54" s="14" t="s">
        <v>1347</v>
      </c>
    </row>
    <row r="55" customFormat="false" ht="15" hidden="false" customHeight="false" outlineLevel="0" collapsed="false">
      <c r="A55" s="14" t="s">
        <v>1291</v>
      </c>
      <c r="B55" s="14" t="s">
        <v>828</v>
      </c>
      <c r="C55" s="14" t="s">
        <v>828</v>
      </c>
      <c r="D55" s="15"/>
      <c r="E55" s="14" t="s">
        <v>1314</v>
      </c>
      <c r="F55" s="16" t="n">
        <v>3</v>
      </c>
      <c r="G55" s="14" t="s">
        <v>1332</v>
      </c>
    </row>
    <row r="56" customFormat="false" ht="15" hidden="false" customHeight="false" outlineLevel="0" collapsed="false">
      <c r="A56" s="14" t="s">
        <v>1291</v>
      </c>
      <c r="B56" s="14" t="s">
        <v>830</v>
      </c>
      <c r="C56" s="14" t="s">
        <v>830</v>
      </c>
      <c r="D56" s="15"/>
      <c r="E56" s="14" t="s">
        <v>1315</v>
      </c>
      <c r="F56" s="16" t="n">
        <v>4</v>
      </c>
      <c r="G56" s="14" t="s">
        <v>1348</v>
      </c>
    </row>
    <row r="57" customFormat="false" ht="15" hidden="false" customHeight="false" outlineLevel="0" collapsed="false">
      <c r="A57" s="14" t="s">
        <v>1291</v>
      </c>
      <c r="B57" s="14" t="s">
        <v>1319</v>
      </c>
      <c r="C57" s="14" t="s">
        <v>1320</v>
      </c>
      <c r="D57" s="16" t="n">
        <v>1</v>
      </c>
      <c r="E57" s="14" t="s">
        <v>1314</v>
      </c>
      <c r="F57" s="16" t="n">
        <v>5</v>
      </c>
      <c r="G57" s="14" t="s">
        <v>1334</v>
      </c>
    </row>
    <row r="58" customFormat="false" ht="15" hidden="false" customHeight="false" outlineLevel="0" collapsed="false">
      <c r="A58" s="14" t="s">
        <v>1291</v>
      </c>
      <c r="B58" s="14" t="s">
        <v>1322</v>
      </c>
      <c r="C58" s="14" t="s">
        <v>1320</v>
      </c>
      <c r="D58" s="16" t="n">
        <v>2</v>
      </c>
      <c r="E58" s="14" t="s">
        <v>1314</v>
      </c>
      <c r="F58" s="16" t="n">
        <v>6</v>
      </c>
      <c r="G58" s="14" t="s">
        <v>1335</v>
      </c>
    </row>
    <row r="59" customFormat="false" ht="15" hidden="false" customHeight="false" outlineLevel="0" collapsed="false">
      <c r="A59" s="14" t="s">
        <v>1291</v>
      </c>
      <c r="B59" s="14" t="s">
        <v>1324</v>
      </c>
      <c r="C59" s="14" t="s">
        <v>1320</v>
      </c>
      <c r="D59" s="16" t="n">
        <v>3</v>
      </c>
      <c r="E59" s="14" t="s">
        <v>1314</v>
      </c>
      <c r="F59" s="16" t="n">
        <v>7</v>
      </c>
      <c r="G59" s="14" t="s">
        <v>1336</v>
      </c>
    </row>
    <row r="60" customFormat="false" ht="15" hidden="false" customHeight="false" outlineLevel="0" collapsed="false">
      <c r="A60" s="14" t="s">
        <v>1291</v>
      </c>
      <c r="B60" s="14" t="s">
        <v>1337</v>
      </c>
      <c r="C60" s="14" t="s">
        <v>1320</v>
      </c>
      <c r="D60" s="16" t="n">
        <v>4</v>
      </c>
      <c r="E60" s="14" t="s">
        <v>1314</v>
      </c>
      <c r="F60" s="16" t="n">
        <v>8</v>
      </c>
      <c r="G60" s="14" t="s">
        <v>1338</v>
      </c>
    </row>
    <row r="61" customFormat="false" ht="15" hidden="false" customHeight="false" outlineLevel="0" collapsed="false">
      <c r="A61" s="14" t="s">
        <v>1291</v>
      </c>
      <c r="B61" s="14" t="s">
        <v>1339</v>
      </c>
      <c r="C61" s="14" t="s">
        <v>1320</v>
      </c>
      <c r="D61" s="16" t="n">
        <v>5</v>
      </c>
      <c r="E61" s="14" t="s">
        <v>1314</v>
      </c>
      <c r="F61" s="16" t="n">
        <v>9</v>
      </c>
      <c r="G61" s="14" t="s">
        <v>1340</v>
      </c>
    </row>
    <row r="62" customFormat="false" ht="15" hidden="false" customHeight="false" outlineLevel="0" collapsed="false">
      <c r="A62" s="14" t="s">
        <v>1291</v>
      </c>
      <c r="B62" s="14" t="s">
        <v>1341</v>
      </c>
      <c r="C62" s="14" t="s">
        <v>1320</v>
      </c>
      <c r="D62" s="16" t="n">
        <v>6</v>
      </c>
      <c r="E62" s="14" t="s">
        <v>1314</v>
      </c>
      <c r="F62" s="16" t="n">
        <v>10</v>
      </c>
      <c r="G62" s="14" t="s">
        <v>1342</v>
      </c>
    </row>
    <row r="63" customFormat="false" ht="15" hidden="false" customHeight="false" outlineLevel="0" collapsed="false">
      <c r="A63" s="14" t="s">
        <v>1295</v>
      </c>
      <c r="B63" s="14" t="s">
        <v>824</v>
      </c>
      <c r="C63" s="14" t="s">
        <v>824</v>
      </c>
      <c r="D63" s="15"/>
      <c r="E63" s="14" t="s">
        <v>1314</v>
      </c>
      <c r="F63" s="16" t="n">
        <v>1</v>
      </c>
      <c r="G63" s="14" t="s">
        <v>1330</v>
      </c>
    </row>
    <row r="64" customFormat="false" ht="15" hidden="false" customHeight="false" outlineLevel="0" collapsed="false">
      <c r="A64" s="14" t="s">
        <v>1295</v>
      </c>
      <c r="B64" s="14" t="s">
        <v>828</v>
      </c>
      <c r="C64" s="14" t="s">
        <v>828</v>
      </c>
      <c r="D64" s="15"/>
      <c r="E64" s="14" t="s">
        <v>1314</v>
      </c>
      <c r="F64" s="16" t="n">
        <v>3</v>
      </c>
      <c r="G64" s="14" t="s">
        <v>1332</v>
      </c>
    </row>
    <row r="65" customFormat="false" ht="15" hidden="false" customHeight="false" outlineLevel="0" collapsed="false">
      <c r="A65" s="14" t="s">
        <v>1295</v>
      </c>
      <c r="B65" s="14" t="s">
        <v>1319</v>
      </c>
      <c r="C65" s="14" t="s">
        <v>1320</v>
      </c>
      <c r="D65" s="16" t="n">
        <v>1</v>
      </c>
      <c r="E65" s="14" t="s">
        <v>1314</v>
      </c>
      <c r="F65" s="16" t="n">
        <v>5</v>
      </c>
      <c r="G65" s="14" t="s">
        <v>1334</v>
      </c>
    </row>
    <row r="66" customFormat="false" ht="15" hidden="false" customHeight="false" outlineLevel="0" collapsed="false">
      <c r="A66" s="14" t="s">
        <v>1295</v>
      </c>
      <c r="B66" s="14" t="s">
        <v>1322</v>
      </c>
      <c r="C66" s="14" t="s">
        <v>1320</v>
      </c>
      <c r="D66" s="16" t="n">
        <v>2</v>
      </c>
      <c r="E66" s="14" t="s">
        <v>1314</v>
      </c>
      <c r="F66" s="16" t="n">
        <v>6</v>
      </c>
      <c r="G66" s="14" t="s">
        <v>1335</v>
      </c>
    </row>
    <row r="67" customFormat="false" ht="15" hidden="false" customHeight="false" outlineLevel="0" collapsed="false">
      <c r="A67" s="14" t="s">
        <v>1295</v>
      </c>
      <c r="B67" s="14" t="s">
        <v>1324</v>
      </c>
      <c r="C67" s="14" t="s">
        <v>1320</v>
      </c>
      <c r="D67" s="16" t="n">
        <v>3</v>
      </c>
      <c r="E67" s="14" t="s">
        <v>1314</v>
      </c>
      <c r="F67" s="16" t="n">
        <v>7</v>
      </c>
      <c r="G67" s="14" t="s">
        <v>1336</v>
      </c>
    </row>
    <row r="68" customFormat="false" ht="15" hidden="false" customHeight="false" outlineLevel="0" collapsed="false">
      <c r="A68" s="14" t="s">
        <v>1295</v>
      </c>
      <c r="B68" s="14" t="s">
        <v>1337</v>
      </c>
      <c r="C68" s="14" t="s">
        <v>1320</v>
      </c>
      <c r="D68" s="16" t="n">
        <v>4</v>
      </c>
      <c r="E68" s="14" t="s">
        <v>1314</v>
      </c>
      <c r="F68" s="16" t="n">
        <v>8</v>
      </c>
      <c r="G68" s="14" t="s">
        <v>1338</v>
      </c>
    </row>
    <row r="69" customFormat="false" ht="15" hidden="false" customHeight="false" outlineLevel="0" collapsed="false">
      <c r="A69" s="14" t="s">
        <v>1295</v>
      </c>
      <c r="B69" s="14" t="s">
        <v>1339</v>
      </c>
      <c r="C69" s="14" t="s">
        <v>1320</v>
      </c>
      <c r="D69" s="16" t="n">
        <v>5</v>
      </c>
      <c r="E69" s="14" t="s">
        <v>1314</v>
      </c>
      <c r="F69" s="16" t="n">
        <v>9</v>
      </c>
      <c r="G69" s="14" t="s">
        <v>1340</v>
      </c>
    </row>
    <row r="70" customFormat="false" ht="15" hidden="false" customHeight="false" outlineLevel="0" collapsed="false">
      <c r="A70" s="14" t="s">
        <v>1295</v>
      </c>
      <c r="B70" s="14" t="s">
        <v>1341</v>
      </c>
      <c r="C70" s="14" t="s">
        <v>1320</v>
      </c>
      <c r="D70" s="16" t="n">
        <v>6</v>
      </c>
      <c r="E70" s="14" t="s">
        <v>1314</v>
      </c>
      <c r="F70" s="16" t="n">
        <v>10</v>
      </c>
      <c r="G70" s="14" t="s">
        <v>1342</v>
      </c>
    </row>
    <row r="71" customFormat="false" ht="15" hidden="false" customHeight="false" outlineLevel="0" collapsed="false">
      <c r="A71" s="14" t="s">
        <v>1299</v>
      </c>
      <c r="B71" s="14" t="s">
        <v>824</v>
      </c>
      <c r="C71" s="14" t="s">
        <v>824</v>
      </c>
      <c r="D71" s="15"/>
      <c r="E71" s="14" t="s">
        <v>1314</v>
      </c>
      <c r="F71" s="16" t="n">
        <v>1</v>
      </c>
      <c r="G71" s="14" t="s">
        <v>1349</v>
      </c>
    </row>
    <row r="72" customFormat="false" ht="15" hidden="false" customHeight="false" outlineLevel="0" collapsed="false">
      <c r="A72" s="14" t="s">
        <v>1299</v>
      </c>
      <c r="B72" s="14" t="s">
        <v>826</v>
      </c>
      <c r="C72" s="14" t="s">
        <v>826</v>
      </c>
      <c r="D72" s="15"/>
      <c r="E72" s="14" t="s">
        <v>1315</v>
      </c>
      <c r="F72" s="16" t="n">
        <v>2</v>
      </c>
      <c r="G72" s="14" t="s">
        <v>1350</v>
      </c>
    </row>
    <row r="73" customFormat="false" ht="15" hidden="false" customHeight="false" outlineLevel="0" collapsed="false">
      <c r="A73" s="14" t="s">
        <v>1299</v>
      </c>
      <c r="B73" s="14" t="s">
        <v>828</v>
      </c>
      <c r="C73" s="14" t="s">
        <v>828</v>
      </c>
      <c r="D73" s="15"/>
      <c r="E73" s="14" t="s">
        <v>1314</v>
      </c>
      <c r="F73" s="16" t="n">
        <v>3</v>
      </c>
      <c r="G73" s="14" t="s">
        <v>1351</v>
      </c>
    </row>
    <row r="74" customFormat="false" ht="15" hidden="false" customHeight="false" outlineLevel="0" collapsed="false">
      <c r="A74" s="14" t="s">
        <v>1299</v>
      </c>
      <c r="B74" s="14" t="s">
        <v>830</v>
      </c>
      <c r="C74" s="14" t="s">
        <v>830</v>
      </c>
      <c r="D74" s="15"/>
      <c r="E74" s="14" t="s">
        <v>1315</v>
      </c>
      <c r="F74" s="16" t="n">
        <v>4</v>
      </c>
      <c r="G74" s="14" t="s">
        <v>1352</v>
      </c>
    </row>
    <row r="75" customFormat="false" ht="15" hidden="false" customHeight="false" outlineLevel="0" collapsed="false">
      <c r="A75" s="14" t="s">
        <v>1299</v>
      </c>
      <c r="B75" s="14" t="s">
        <v>1319</v>
      </c>
      <c r="C75" s="14" t="s">
        <v>1320</v>
      </c>
      <c r="D75" s="16" t="n">
        <v>1</v>
      </c>
      <c r="E75" s="14" t="s">
        <v>1314</v>
      </c>
      <c r="F75" s="16" t="n">
        <v>5</v>
      </c>
      <c r="G75" s="14" t="s">
        <v>1353</v>
      </c>
    </row>
    <row r="76" customFormat="false" ht="15" hidden="false" customHeight="false" outlineLevel="0" collapsed="false">
      <c r="A76" s="14" t="s">
        <v>1299</v>
      </c>
      <c r="B76" s="14" t="s">
        <v>1322</v>
      </c>
      <c r="C76" s="14" t="s">
        <v>1320</v>
      </c>
      <c r="D76" s="16" t="n">
        <v>2</v>
      </c>
      <c r="E76" s="14" t="s">
        <v>1314</v>
      </c>
      <c r="F76" s="16" t="n">
        <v>6</v>
      </c>
      <c r="G76" s="14" t="s">
        <v>1354</v>
      </c>
    </row>
    <row r="77" customFormat="false" ht="15" hidden="false" customHeight="false" outlineLevel="0" collapsed="false">
      <c r="A77" s="14" t="s">
        <v>1299</v>
      </c>
      <c r="B77" s="14" t="s">
        <v>1324</v>
      </c>
      <c r="C77" s="14" t="s">
        <v>1320</v>
      </c>
      <c r="D77" s="16" t="n">
        <v>3</v>
      </c>
      <c r="E77" s="14" t="s">
        <v>1314</v>
      </c>
      <c r="F77" s="16" t="n">
        <v>7</v>
      </c>
      <c r="G77" s="14" t="s">
        <v>1355</v>
      </c>
    </row>
    <row r="78" customFormat="false" ht="15" hidden="false" customHeight="false" outlineLevel="0" collapsed="false">
      <c r="A78" s="14" t="s">
        <v>1299</v>
      </c>
      <c r="B78" s="14" t="s">
        <v>1337</v>
      </c>
      <c r="C78" s="14" t="s">
        <v>1320</v>
      </c>
      <c r="D78" s="16" t="n">
        <v>4</v>
      </c>
      <c r="E78" s="14" t="s">
        <v>1314</v>
      </c>
      <c r="F78" s="16" t="n">
        <v>8</v>
      </c>
      <c r="G78" s="14" t="s">
        <v>1356</v>
      </c>
    </row>
    <row r="79" customFormat="false" ht="15" hidden="false" customHeight="false" outlineLevel="0" collapsed="false">
      <c r="A79" s="14" t="s">
        <v>1299</v>
      </c>
      <c r="B79" s="14" t="s">
        <v>1339</v>
      </c>
      <c r="C79" s="14" t="s">
        <v>1320</v>
      </c>
      <c r="D79" s="16" t="n">
        <v>5</v>
      </c>
      <c r="E79" s="14" t="s">
        <v>1314</v>
      </c>
      <c r="F79" s="16" t="n">
        <v>9</v>
      </c>
      <c r="G79" s="14" t="s">
        <v>1357</v>
      </c>
    </row>
    <row r="80" customFormat="false" ht="15" hidden="false" customHeight="false" outlineLevel="0" collapsed="false">
      <c r="A80" s="14" t="s">
        <v>1299</v>
      </c>
      <c r="B80" s="14" t="s">
        <v>1341</v>
      </c>
      <c r="C80" s="14" t="s">
        <v>1320</v>
      </c>
      <c r="D80" s="16" t="n">
        <v>6</v>
      </c>
      <c r="E80" s="14" t="s">
        <v>1314</v>
      </c>
      <c r="F80" s="16" t="n">
        <v>10</v>
      </c>
      <c r="G80" s="14" t="s">
        <v>1358</v>
      </c>
    </row>
    <row r="81" customFormat="false" ht="15" hidden="false" customHeight="false" outlineLevel="0" collapsed="false">
      <c r="A81" s="14" t="s">
        <v>1299</v>
      </c>
      <c r="B81" s="14" t="s">
        <v>1359</v>
      </c>
      <c r="C81" s="14" t="s">
        <v>1320</v>
      </c>
      <c r="D81" s="16" t="n">
        <v>7</v>
      </c>
      <c r="E81" s="14" t="s">
        <v>1314</v>
      </c>
      <c r="F81" s="16" t="n">
        <v>11</v>
      </c>
      <c r="G81" s="14" t="s">
        <v>1360</v>
      </c>
    </row>
    <row r="82" customFormat="false" ht="15" hidden="false" customHeight="false" outlineLevel="0" collapsed="false">
      <c r="A82" s="14" t="s">
        <v>1299</v>
      </c>
      <c r="B82" s="14" t="s">
        <v>1361</v>
      </c>
      <c r="C82" s="14" t="s">
        <v>1320</v>
      </c>
      <c r="D82" s="16" t="n">
        <v>8</v>
      </c>
      <c r="E82" s="14" t="s">
        <v>1314</v>
      </c>
      <c r="F82" s="16" t="n">
        <v>12</v>
      </c>
      <c r="G82" s="14" t="s">
        <v>1362</v>
      </c>
    </row>
    <row r="83" customFormat="false" ht="15" hidden="false" customHeight="false" outlineLevel="0" collapsed="false">
      <c r="A83" s="14" t="s">
        <v>1299</v>
      </c>
      <c r="B83" s="14" t="s">
        <v>1363</v>
      </c>
      <c r="C83" s="14" t="s">
        <v>1320</v>
      </c>
      <c r="D83" s="16" t="n">
        <v>9</v>
      </c>
      <c r="E83" s="14" t="s">
        <v>1314</v>
      </c>
      <c r="F83" s="16" t="n">
        <v>13</v>
      </c>
      <c r="G83" s="14" t="s">
        <v>1364</v>
      </c>
    </row>
    <row r="84" customFormat="false" ht="15" hidden="false" customHeight="false" outlineLevel="0" collapsed="false">
      <c r="A84" s="14" t="s">
        <v>1299</v>
      </c>
      <c r="B84" s="14" t="s">
        <v>1365</v>
      </c>
      <c r="C84" s="14" t="s">
        <v>1320</v>
      </c>
      <c r="D84" s="16" t="n">
        <v>10</v>
      </c>
      <c r="E84" s="14" t="s">
        <v>1314</v>
      </c>
      <c r="F84" s="16" t="n">
        <v>14</v>
      </c>
      <c r="G84" s="14" t="s">
        <v>1366</v>
      </c>
    </row>
    <row r="85" customFormat="false" ht="15" hidden="false" customHeight="false" outlineLevel="0" collapsed="false">
      <c r="A85" s="14" t="s">
        <v>1299</v>
      </c>
      <c r="B85" s="14" t="s">
        <v>1367</v>
      </c>
      <c r="C85" s="14" t="s">
        <v>1320</v>
      </c>
      <c r="D85" s="16" t="n">
        <v>11</v>
      </c>
      <c r="E85" s="14" t="s">
        <v>1314</v>
      </c>
      <c r="F85" s="16" t="n">
        <v>15</v>
      </c>
      <c r="G85" s="14" t="s">
        <v>1368</v>
      </c>
    </row>
    <row r="86" customFormat="false" ht="15" hidden="false" customHeight="false" outlineLevel="0" collapsed="false">
      <c r="A86" s="14" t="s">
        <v>1299</v>
      </c>
      <c r="B86" s="14" t="s">
        <v>1369</v>
      </c>
      <c r="C86" s="14" t="s">
        <v>1320</v>
      </c>
      <c r="D86" s="16" t="n">
        <v>12</v>
      </c>
      <c r="E86" s="14" t="s">
        <v>1314</v>
      </c>
      <c r="F86" s="16" t="n">
        <v>16</v>
      </c>
      <c r="G86" s="14" t="s">
        <v>1370</v>
      </c>
    </row>
    <row r="87" customFormat="false" ht="15" hidden="false" customHeight="false" outlineLevel="0" collapsed="false">
      <c r="A87" s="14" t="s">
        <v>1299</v>
      </c>
      <c r="B87" s="14" t="s">
        <v>1371</v>
      </c>
      <c r="C87" s="14" t="s">
        <v>1320</v>
      </c>
      <c r="D87" s="16" t="n">
        <v>13</v>
      </c>
      <c r="E87" s="14" t="s">
        <v>1314</v>
      </c>
      <c r="F87" s="16" t="n">
        <v>17</v>
      </c>
      <c r="G87" s="14" t="s">
        <v>1372</v>
      </c>
    </row>
    <row r="88" customFormat="false" ht="15" hidden="false" customHeight="false" outlineLevel="0" collapsed="false">
      <c r="A88" s="14" t="s">
        <v>1299</v>
      </c>
      <c r="B88" s="14" t="s">
        <v>1373</v>
      </c>
      <c r="C88" s="14" t="s">
        <v>1320</v>
      </c>
      <c r="D88" s="16" t="n">
        <v>14</v>
      </c>
      <c r="E88" s="14" t="s">
        <v>1314</v>
      </c>
      <c r="F88" s="16" t="n">
        <v>18</v>
      </c>
      <c r="G88" s="14" t="s">
        <v>1374</v>
      </c>
    </row>
    <row r="89" customFormat="false" ht="15" hidden="false" customHeight="false" outlineLevel="0" collapsed="false">
      <c r="A89" s="14" t="s">
        <v>1299</v>
      </c>
      <c r="B89" s="14" t="s">
        <v>1375</v>
      </c>
      <c r="C89" s="14" t="s">
        <v>1320</v>
      </c>
      <c r="D89" s="16" t="n">
        <v>15</v>
      </c>
      <c r="E89" s="14" t="s">
        <v>1314</v>
      </c>
      <c r="F89" s="16" t="n">
        <v>19</v>
      </c>
      <c r="G89" s="14" t="s">
        <v>1376</v>
      </c>
    </row>
    <row r="90" customFormat="false" ht="15" hidden="false" customHeight="false" outlineLevel="0" collapsed="false">
      <c r="A90" s="14" t="s">
        <v>1299</v>
      </c>
      <c r="B90" s="14" t="s">
        <v>1377</v>
      </c>
      <c r="C90" s="14" t="s">
        <v>1320</v>
      </c>
      <c r="D90" s="16" t="n">
        <v>16</v>
      </c>
      <c r="E90" s="14" t="s">
        <v>1314</v>
      </c>
      <c r="F90" s="16" t="n">
        <v>20</v>
      </c>
      <c r="G90" s="14" t="s">
        <v>1378</v>
      </c>
    </row>
    <row r="91" customFormat="false" ht="15" hidden="false" customHeight="false" outlineLevel="0" collapsed="false">
      <c r="A91" s="14" t="s">
        <v>1307</v>
      </c>
      <c r="B91" s="14" t="s">
        <v>824</v>
      </c>
      <c r="C91" s="14" t="s">
        <v>824</v>
      </c>
      <c r="D91" s="15"/>
      <c r="E91" s="14" t="s">
        <v>1314</v>
      </c>
      <c r="F91" s="16" t="n">
        <v>1</v>
      </c>
      <c r="G91" s="14" t="s">
        <v>1379</v>
      </c>
    </row>
    <row r="92" customFormat="false" ht="15" hidden="false" customHeight="false" outlineLevel="0" collapsed="false">
      <c r="A92" s="14" t="s">
        <v>1307</v>
      </c>
      <c r="B92" s="14" t="s">
        <v>826</v>
      </c>
      <c r="C92" s="14" t="s">
        <v>826</v>
      </c>
      <c r="D92" s="15"/>
      <c r="E92" s="14" t="s">
        <v>1315</v>
      </c>
      <c r="F92" s="16" t="n">
        <v>2</v>
      </c>
      <c r="G92" s="14" t="s">
        <v>1380</v>
      </c>
    </row>
    <row r="93" customFormat="false" ht="15" hidden="false" customHeight="false" outlineLevel="0" collapsed="false">
      <c r="A93" s="14" t="s">
        <v>1307</v>
      </c>
      <c r="B93" s="14" t="s">
        <v>828</v>
      </c>
      <c r="C93" s="14" t="s">
        <v>828</v>
      </c>
      <c r="D93" s="15"/>
      <c r="E93" s="14" t="s">
        <v>1314</v>
      </c>
      <c r="F93" s="16" t="n">
        <v>3</v>
      </c>
      <c r="G93" s="14" t="s">
        <v>1381</v>
      </c>
    </row>
    <row r="94" customFormat="false" ht="15" hidden="false" customHeight="false" outlineLevel="0" collapsed="false">
      <c r="A94" s="14" t="s">
        <v>1307</v>
      </c>
      <c r="B94" s="14" t="s">
        <v>830</v>
      </c>
      <c r="C94" s="14" t="s">
        <v>830</v>
      </c>
      <c r="D94" s="15"/>
      <c r="E94" s="14" t="s">
        <v>1315</v>
      </c>
      <c r="F94" s="16" t="n">
        <v>4</v>
      </c>
      <c r="G94" s="14" t="s">
        <v>1382</v>
      </c>
    </row>
    <row r="95" customFormat="false" ht="15" hidden="false" customHeight="false" outlineLevel="0" collapsed="false">
      <c r="A95" s="14" t="s">
        <v>1307</v>
      </c>
      <c r="B95" s="14" t="s">
        <v>1319</v>
      </c>
      <c r="C95" s="14" t="s">
        <v>1320</v>
      </c>
      <c r="D95" s="16" t="n">
        <v>1</v>
      </c>
      <c r="E95" s="14" t="s">
        <v>1314</v>
      </c>
      <c r="F95" s="16" t="n">
        <v>5</v>
      </c>
      <c r="G95" s="14" t="s">
        <v>1383</v>
      </c>
    </row>
  </sheetData>
  <autoFilter ref="A1:G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10"/>
  </cols>
  <sheetData>
    <row r="1" customFormat="false" ht="30" hidden="false" customHeight="true" outlineLevel="0" collapsed="false">
      <c r="A1" s="12" t="s">
        <v>118</v>
      </c>
      <c r="B1" s="12" t="s">
        <v>376</v>
      </c>
      <c r="C1" s="12" t="s">
        <v>381</v>
      </c>
      <c r="D1" s="12" t="s">
        <v>1</v>
      </c>
      <c r="E1" s="12" t="s">
        <v>459</v>
      </c>
    </row>
    <row r="2" customFormat="false" ht="15" hidden="false" customHeight="false" outlineLevel="0" collapsed="false">
      <c r="A2" s="14" t="s">
        <v>117</v>
      </c>
      <c r="B2" s="16" t="n">
        <v>5</v>
      </c>
      <c r="C2" s="14" t="s">
        <v>1057</v>
      </c>
      <c r="D2" s="14" t="s">
        <v>124</v>
      </c>
      <c r="E2" s="16" t="n">
        <v>1</v>
      </c>
    </row>
    <row r="3" customFormat="false" ht="15" hidden="false" customHeight="false" outlineLevel="0" collapsed="false">
      <c r="A3" s="14" t="s">
        <v>117</v>
      </c>
      <c r="B3" s="16" t="n">
        <v>21</v>
      </c>
      <c r="C3" s="14" t="s">
        <v>380</v>
      </c>
      <c r="D3" s="14" t="s">
        <v>370</v>
      </c>
      <c r="E3" s="16" t="n">
        <v>4</v>
      </c>
    </row>
    <row r="4" customFormat="false" ht="15" hidden="false" customHeight="false" outlineLevel="0" collapsed="false">
      <c r="A4" s="14" t="s">
        <v>117</v>
      </c>
      <c r="B4" s="16" t="n">
        <v>31</v>
      </c>
      <c r="C4" s="14" t="s">
        <v>1127</v>
      </c>
      <c r="D4" s="14" t="s">
        <v>1384</v>
      </c>
      <c r="E4" s="16" t="n">
        <v>7</v>
      </c>
    </row>
    <row r="5" customFormat="false" ht="15" hidden="false" customHeight="false" outlineLevel="0" collapsed="false">
      <c r="A5" s="14" t="s">
        <v>117</v>
      </c>
      <c r="B5" s="16" t="n">
        <v>33</v>
      </c>
      <c r="C5" s="14" t="s">
        <v>1133</v>
      </c>
      <c r="D5" s="14" t="s">
        <v>1385</v>
      </c>
      <c r="E5" s="16" t="n">
        <v>8</v>
      </c>
    </row>
    <row r="6" customFormat="false" ht="15" hidden="false" customHeight="false" outlineLevel="0" collapsed="false">
      <c r="A6" s="14" t="s">
        <v>1268</v>
      </c>
      <c r="B6" s="16" t="n">
        <v>5</v>
      </c>
      <c r="C6" s="14" t="s">
        <v>1057</v>
      </c>
      <c r="D6" s="14" t="s">
        <v>1269</v>
      </c>
      <c r="E6" s="16" t="n">
        <v>1</v>
      </c>
    </row>
    <row r="7" customFormat="false" ht="15" hidden="false" customHeight="false" outlineLevel="0" collapsed="false">
      <c r="A7" s="14" t="s">
        <v>1268</v>
      </c>
      <c r="B7" s="16" t="n">
        <v>21</v>
      </c>
      <c r="C7" s="14" t="s">
        <v>380</v>
      </c>
      <c r="D7" s="14" t="s">
        <v>1386</v>
      </c>
      <c r="E7" s="16" t="n">
        <v>4</v>
      </c>
    </row>
    <row r="8" customFormat="false" ht="15" hidden="false" customHeight="false" outlineLevel="0" collapsed="false">
      <c r="A8" s="14" t="s">
        <v>1268</v>
      </c>
      <c r="B8" s="16" t="n">
        <v>31</v>
      </c>
      <c r="C8" s="14" t="s">
        <v>1127</v>
      </c>
      <c r="D8" s="14" t="s">
        <v>1384</v>
      </c>
      <c r="E8" s="16" t="n">
        <v>7</v>
      </c>
    </row>
    <row r="9" customFormat="false" ht="15" hidden="false" customHeight="false" outlineLevel="0" collapsed="false">
      <c r="A9" s="14" t="s">
        <v>1268</v>
      </c>
      <c r="B9" s="16" t="n">
        <v>33</v>
      </c>
      <c r="C9" s="14" t="s">
        <v>1133</v>
      </c>
      <c r="D9" s="14" t="s">
        <v>1385</v>
      </c>
      <c r="E9" s="16" t="n">
        <v>8</v>
      </c>
    </row>
    <row r="10" customFormat="false" ht="15" hidden="false" customHeight="false" outlineLevel="0" collapsed="false">
      <c r="A10" s="14" t="s">
        <v>1272</v>
      </c>
      <c r="B10" s="16" t="n">
        <v>5</v>
      </c>
      <c r="C10" s="14" t="s">
        <v>1057</v>
      </c>
      <c r="D10" s="14" t="s">
        <v>1273</v>
      </c>
      <c r="E10" s="16" t="n">
        <v>1</v>
      </c>
    </row>
    <row r="11" customFormat="false" ht="15" hidden="false" customHeight="false" outlineLevel="0" collapsed="false">
      <c r="A11" s="14" t="s">
        <v>1272</v>
      </c>
      <c r="B11" s="16" t="n">
        <v>21</v>
      </c>
      <c r="C11" s="14" t="s">
        <v>380</v>
      </c>
      <c r="D11" s="14" t="s">
        <v>1386</v>
      </c>
      <c r="E11" s="16" t="n">
        <v>4</v>
      </c>
    </row>
    <row r="12" customFormat="false" ht="15" hidden="false" customHeight="false" outlineLevel="0" collapsed="false">
      <c r="A12" s="14" t="s">
        <v>1272</v>
      </c>
      <c r="B12" s="16" t="n">
        <v>31</v>
      </c>
      <c r="C12" s="14" t="s">
        <v>1127</v>
      </c>
      <c r="D12" s="14" t="s">
        <v>1387</v>
      </c>
      <c r="E12" s="16" t="n">
        <v>7</v>
      </c>
    </row>
    <row r="13" customFormat="false" ht="15" hidden="false" customHeight="false" outlineLevel="0" collapsed="false">
      <c r="A13" s="14" t="s">
        <v>1272</v>
      </c>
      <c r="B13" s="16" t="n">
        <v>33</v>
      </c>
      <c r="C13" s="14" t="s">
        <v>1133</v>
      </c>
      <c r="D13" s="14" t="s">
        <v>1385</v>
      </c>
      <c r="E13" s="16" t="n">
        <v>8</v>
      </c>
    </row>
    <row r="14" customFormat="false" ht="15" hidden="false" customHeight="false" outlineLevel="0" collapsed="false">
      <c r="A14" s="14" t="s">
        <v>1276</v>
      </c>
      <c r="B14" s="16" t="n">
        <v>5</v>
      </c>
      <c r="C14" s="14" t="s">
        <v>1057</v>
      </c>
      <c r="D14" s="14" t="s">
        <v>1277</v>
      </c>
      <c r="E14" s="16" t="n">
        <v>1</v>
      </c>
    </row>
    <row r="15" customFormat="false" ht="15" hidden="false" customHeight="false" outlineLevel="0" collapsed="false">
      <c r="A15" s="14" t="s">
        <v>1276</v>
      </c>
      <c r="B15" s="16" t="n">
        <v>19</v>
      </c>
      <c r="C15" s="14" t="s">
        <v>1093</v>
      </c>
      <c r="D15" s="14" t="s">
        <v>1388</v>
      </c>
      <c r="E15" s="16" t="n">
        <v>3</v>
      </c>
    </row>
    <row r="16" customFormat="false" ht="15" hidden="false" customHeight="false" outlineLevel="0" collapsed="false">
      <c r="A16" s="14" t="s">
        <v>1276</v>
      </c>
      <c r="B16" s="16" t="n">
        <v>21</v>
      </c>
      <c r="C16" s="14" t="s">
        <v>380</v>
      </c>
      <c r="D16" s="14" t="s">
        <v>1389</v>
      </c>
      <c r="E16" s="16" t="n">
        <v>4</v>
      </c>
    </row>
    <row r="17" customFormat="false" ht="15" hidden="false" customHeight="false" outlineLevel="0" collapsed="false">
      <c r="A17" s="14" t="s">
        <v>1276</v>
      </c>
      <c r="B17" s="16" t="n">
        <v>31</v>
      </c>
      <c r="C17" s="14" t="s">
        <v>1127</v>
      </c>
      <c r="D17" s="14" t="s">
        <v>1390</v>
      </c>
      <c r="E17" s="16" t="n">
        <v>7</v>
      </c>
    </row>
    <row r="18" customFormat="false" ht="15" hidden="false" customHeight="false" outlineLevel="0" collapsed="false">
      <c r="A18" s="14" t="s">
        <v>1276</v>
      </c>
      <c r="B18" s="16" t="n">
        <v>33</v>
      </c>
      <c r="C18" s="14" t="s">
        <v>1133</v>
      </c>
      <c r="D18" s="14" t="s">
        <v>1391</v>
      </c>
      <c r="E18" s="16" t="n">
        <v>8</v>
      </c>
    </row>
    <row r="19" customFormat="false" ht="15" hidden="false" customHeight="false" outlineLevel="0" collapsed="false">
      <c r="A19" s="14" t="s">
        <v>1283</v>
      </c>
      <c r="B19" s="16" t="n">
        <v>5</v>
      </c>
      <c r="C19" s="14" t="s">
        <v>1057</v>
      </c>
      <c r="D19" s="14" t="s">
        <v>1284</v>
      </c>
      <c r="E19" s="16" t="n">
        <v>1</v>
      </c>
    </row>
    <row r="20" customFormat="false" ht="15" hidden="false" customHeight="false" outlineLevel="0" collapsed="false">
      <c r="A20" s="14" t="s">
        <v>1283</v>
      </c>
      <c r="B20" s="16" t="n">
        <v>19</v>
      </c>
      <c r="C20" s="14" t="s">
        <v>1093</v>
      </c>
      <c r="D20" s="14" t="s">
        <v>1388</v>
      </c>
      <c r="E20" s="16" t="n">
        <v>3</v>
      </c>
    </row>
    <row r="21" customFormat="false" ht="15" hidden="false" customHeight="false" outlineLevel="0" collapsed="false">
      <c r="A21" s="14" t="s">
        <v>1283</v>
      </c>
      <c r="B21" s="16" t="n">
        <v>21</v>
      </c>
      <c r="C21" s="14" t="s">
        <v>380</v>
      </c>
      <c r="D21" s="14" t="s">
        <v>1392</v>
      </c>
      <c r="E21" s="16" t="n">
        <v>4</v>
      </c>
    </row>
    <row r="22" customFormat="false" ht="15" hidden="false" customHeight="false" outlineLevel="0" collapsed="false">
      <c r="A22" s="14" t="s">
        <v>1283</v>
      </c>
      <c r="B22" s="16" t="n">
        <v>31</v>
      </c>
      <c r="C22" s="14" t="s">
        <v>1127</v>
      </c>
      <c r="D22" s="14" t="s">
        <v>1393</v>
      </c>
      <c r="E22" s="16" t="n">
        <v>7</v>
      </c>
    </row>
    <row r="23" customFormat="false" ht="15" hidden="false" customHeight="false" outlineLevel="0" collapsed="false">
      <c r="A23" s="14" t="s">
        <v>1283</v>
      </c>
      <c r="B23" s="16" t="n">
        <v>33</v>
      </c>
      <c r="C23" s="14" t="s">
        <v>1133</v>
      </c>
      <c r="D23" s="14" t="s">
        <v>1391</v>
      </c>
      <c r="E23" s="16" t="n">
        <v>8</v>
      </c>
    </row>
    <row r="24" customFormat="false" ht="15" hidden="false" customHeight="false" outlineLevel="0" collapsed="false">
      <c r="A24" s="14" t="s">
        <v>1287</v>
      </c>
      <c r="B24" s="16" t="n">
        <v>5</v>
      </c>
      <c r="C24" s="14" t="s">
        <v>1057</v>
      </c>
      <c r="D24" s="14" t="s">
        <v>1288</v>
      </c>
      <c r="E24" s="16" t="n">
        <v>1</v>
      </c>
    </row>
    <row r="25" customFormat="false" ht="15" hidden="false" customHeight="false" outlineLevel="0" collapsed="false">
      <c r="A25" s="14" t="s">
        <v>1287</v>
      </c>
      <c r="B25" s="16" t="n">
        <v>19</v>
      </c>
      <c r="C25" s="14" t="s">
        <v>1093</v>
      </c>
      <c r="D25" s="14" t="s">
        <v>1388</v>
      </c>
      <c r="E25" s="16" t="n">
        <v>3</v>
      </c>
    </row>
    <row r="26" customFormat="false" ht="15" hidden="false" customHeight="false" outlineLevel="0" collapsed="false">
      <c r="A26" s="14" t="s">
        <v>1287</v>
      </c>
      <c r="B26" s="16" t="n">
        <v>21</v>
      </c>
      <c r="C26" s="14" t="s">
        <v>380</v>
      </c>
      <c r="D26" s="14" t="s">
        <v>1392</v>
      </c>
      <c r="E26" s="16" t="n">
        <v>4</v>
      </c>
    </row>
    <row r="27" customFormat="false" ht="15" hidden="false" customHeight="false" outlineLevel="0" collapsed="false">
      <c r="A27" s="14" t="s">
        <v>1287</v>
      </c>
      <c r="B27" s="16" t="n">
        <v>31</v>
      </c>
      <c r="C27" s="14" t="s">
        <v>1127</v>
      </c>
      <c r="D27" s="14" t="s">
        <v>1394</v>
      </c>
      <c r="E27" s="16" t="n">
        <v>7</v>
      </c>
    </row>
    <row r="28" customFormat="false" ht="15" hidden="false" customHeight="false" outlineLevel="0" collapsed="false">
      <c r="A28" s="14" t="s">
        <v>1287</v>
      </c>
      <c r="B28" s="16" t="n">
        <v>33</v>
      </c>
      <c r="C28" s="14" t="s">
        <v>1133</v>
      </c>
      <c r="D28" s="14" t="s">
        <v>1391</v>
      </c>
      <c r="E28" s="16" t="n">
        <v>8</v>
      </c>
    </row>
    <row r="29" customFormat="false" ht="15" hidden="false" customHeight="false" outlineLevel="0" collapsed="false">
      <c r="A29" s="14" t="s">
        <v>1291</v>
      </c>
      <c r="B29" s="16" t="n">
        <v>5</v>
      </c>
      <c r="C29" s="14" t="s">
        <v>1057</v>
      </c>
      <c r="D29" s="14" t="s">
        <v>1292</v>
      </c>
      <c r="E29" s="16" t="n">
        <v>1</v>
      </c>
    </row>
    <row r="30" customFormat="false" ht="15" hidden="false" customHeight="false" outlineLevel="0" collapsed="false">
      <c r="A30" s="14" t="s">
        <v>1291</v>
      </c>
      <c r="B30" s="16" t="n">
        <v>19</v>
      </c>
      <c r="C30" s="14" t="s">
        <v>1093</v>
      </c>
      <c r="D30" s="14" t="s">
        <v>1388</v>
      </c>
      <c r="E30" s="16" t="n">
        <v>3</v>
      </c>
    </row>
    <row r="31" customFormat="false" ht="15" hidden="false" customHeight="false" outlineLevel="0" collapsed="false">
      <c r="A31" s="14" t="s">
        <v>1291</v>
      </c>
      <c r="B31" s="16" t="n">
        <v>21</v>
      </c>
      <c r="C31" s="14" t="s">
        <v>380</v>
      </c>
      <c r="D31" s="14" t="s">
        <v>1392</v>
      </c>
      <c r="E31" s="16" t="n">
        <v>4</v>
      </c>
    </row>
    <row r="32" customFormat="false" ht="15" hidden="false" customHeight="false" outlineLevel="0" collapsed="false">
      <c r="A32" s="14" t="s">
        <v>1291</v>
      </c>
      <c r="B32" s="16" t="n">
        <v>31</v>
      </c>
      <c r="C32" s="14" t="s">
        <v>1127</v>
      </c>
      <c r="D32" s="14" t="s">
        <v>1395</v>
      </c>
      <c r="E32" s="16" t="n">
        <v>7</v>
      </c>
    </row>
    <row r="33" customFormat="false" ht="15" hidden="false" customHeight="false" outlineLevel="0" collapsed="false">
      <c r="A33" s="14" t="s">
        <v>1291</v>
      </c>
      <c r="B33" s="16" t="n">
        <v>33</v>
      </c>
      <c r="C33" s="14" t="s">
        <v>1133</v>
      </c>
      <c r="D33" s="14" t="s">
        <v>1391</v>
      </c>
      <c r="E33" s="16" t="n">
        <v>8</v>
      </c>
    </row>
    <row r="34" customFormat="false" ht="15" hidden="false" customHeight="false" outlineLevel="0" collapsed="false">
      <c r="A34" s="14" t="s">
        <v>1295</v>
      </c>
      <c r="B34" s="16" t="n">
        <v>5</v>
      </c>
      <c r="C34" s="14" t="s">
        <v>1057</v>
      </c>
      <c r="D34" s="14" t="s">
        <v>1296</v>
      </c>
      <c r="E34" s="16" t="n">
        <v>1</v>
      </c>
    </row>
    <row r="35" customFormat="false" ht="15" hidden="false" customHeight="false" outlineLevel="0" collapsed="false">
      <c r="A35" s="14" t="s">
        <v>1295</v>
      </c>
      <c r="B35" s="16" t="n">
        <v>19</v>
      </c>
      <c r="C35" s="14" t="s">
        <v>1093</v>
      </c>
      <c r="D35" s="14" t="s">
        <v>1388</v>
      </c>
      <c r="E35" s="16" t="n">
        <v>3</v>
      </c>
    </row>
    <row r="36" customFormat="false" ht="15" hidden="false" customHeight="false" outlineLevel="0" collapsed="false">
      <c r="A36" s="14" t="s">
        <v>1295</v>
      </c>
      <c r="B36" s="16" t="n">
        <v>21</v>
      </c>
      <c r="C36" s="14" t="s">
        <v>380</v>
      </c>
      <c r="D36" s="14" t="s">
        <v>1392</v>
      </c>
      <c r="E36" s="16" t="n">
        <v>4</v>
      </c>
    </row>
    <row r="37" customFormat="false" ht="15" hidden="false" customHeight="false" outlineLevel="0" collapsed="false">
      <c r="A37" s="14" t="s">
        <v>1295</v>
      </c>
      <c r="B37" s="16" t="n">
        <v>31</v>
      </c>
      <c r="C37" s="14" t="s">
        <v>1127</v>
      </c>
      <c r="D37" s="14" t="s">
        <v>1396</v>
      </c>
      <c r="E37" s="16" t="n">
        <v>7</v>
      </c>
    </row>
    <row r="38" customFormat="false" ht="15" hidden="false" customHeight="false" outlineLevel="0" collapsed="false">
      <c r="A38" s="14" t="s">
        <v>1295</v>
      </c>
      <c r="B38" s="16" t="n">
        <v>33</v>
      </c>
      <c r="C38" s="14" t="s">
        <v>1133</v>
      </c>
      <c r="D38" s="14" t="s">
        <v>1391</v>
      </c>
      <c r="E38" s="16" t="n">
        <v>8</v>
      </c>
    </row>
    <row r="39" customFormat="false" ht="15" hidden="false" customHeight="false" outlineLevel="0" collapsed="false">
      <c r="A39" s="14" t="s">
        <v>1299</v>
      </c>
      <c r="B39" s="16" t="n">
        <v>5</v>
      </c>
      <c r="C39" s="14" t="s">
        <v>1057</v>
      </c>
      <c r="D39" s="14" t="s">
        <v>1300</v>
      </c>
      <c r="E39" s="16" t="n">
        <v>1</v>
      </c>
    </row>
    <row r="40" customFormat="false" ht="15" hidden="false" customHeight="false" outlineLevel="0" collapsed="false">
      <c r="A40" s="14" t="s">
        <v>1299</v>
      </c>
      <c r="B40" s="16" t="n">
        <v>7</v>
      </c>
      <c r="C40" s="14" t="s">
        <v>1064</v>
      </c>
      <c r="D40" s="14" t="s">
        <v>1397</v>
      </c>
      <c r="E40" s="16" t="n">
        <v>2</v>
      </c>
    </row>
    <row r="41" customFormat="false" ht="15" hidden="false" customHeight="false" outlineLevel="0" collapsed="false">
      <c r="A41" s="14" t="s">
        <v>1299</v>
      </c>
      <c r="B41" s="16" t="n">
        <v>17</v>
      </c>
      <c r="C41" s="14" t="s">
        <v>1087</v>
      </c>
      <c r="D41" s="14" t="s">
        <v>1398</v>
      </c>
      <c r="E41" s="16" t="n">
        <v>3</v>
      </c>
    </row>
    <row r="42" customFormat="false" ht="15" hidden="false" customHeight="false" outlineLevel="0" collapsed="false">
      <c r="A42" s="14" t="s">
        <v>1299</v>
      </c>
      <c r="B42" s="16" t="n">
        <v>34</v>
      </c>
      <c r="C42" s="14" t="s">
        <v>1136</v>
      </c>
      <c r="D42" s="14" t="s">
        <v>769</v>
      </c>
      <c r="E42" s="16" t="n">
        <v>6</v>
      </c>
    </row>
    <row r="43" customFormat="false" ht="15" hidden="false" customHeight="false" outlineLevel="0" collapsed="false">
      <c r="A43" s="14" t="s">
        <v>1307</v>
      </c>
      <c r="B43" s="16" t="n">
        <v>5</v>
      </c>
      <c r="C43" s="14" t="s">
        <v>1057</v>
      </c>
      <c r="D43" s="14" t="s">
        <v>1308</v>
      </c>
      <c r="E43" s="16" t="n">
        <v>1</v>
      </c>
    </row>
  </sheetData>
  <autoFilter ref="A1:E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0"/>
  </cols>
  <sheetData>
    <row r="1" customFormat="false" ht="30" hidden="false" customHeight="true" outlineLevel="0" collapsed="false">
      <c r="A1" s="13" t="s">
        <v>118</v>
      </c>
      <c r="B1" s="13" t="s">
        <v>354</v>
      </c>
      <c r="C1" s="13" t="s">
        <v>459</v>
      </c>
      <c r="D1" s="13" t="s">
        <v>349</v>
      </c>
    </row>
    <row r="2" customFormat="false" ht="15" hidden="false" customHeight="false" outlineLevel="0" collapsed="false">
      <c r="A2" s="14" t="s">
        <v>1399</v>
      </c>
      <c r="B2" s="16" t="n">
        <v>100</v>
      </c>
      <c r="C2" s="16" t="n">
        <v>1</v>
      </c>
      <c r="D2" s="14" t="s">
        <v>1400</v>
      </c>
    </row>
    <row r="3" customFormat="false" ht="15" hidden="false" customHeight="false" outlineLevel="0" collapsed="false">
      <c r="A3" s="14" t="s">
        <v>1399</v>
      </c>
      <c r="B3" s="16" t="n">
        <v>25</v>
      </c>
      <c r="C3" s="16" t="n">
        <v>2</v>
      </c>
      <c r="D3" s="14" t="s">
        <v>1401</v>
      </c>
    </row>
    <row r="4" customFormat="false" ht="15" hidden="false" customHeight="false" outlineLevel="0" collapsed="false">
      <c r="A4" s="14" t="s">
        <v>1399</v>
      </c>
      <c r="B4" s="16" t="n">
        <v>113</v>
      </c>
      <c r="C4" s="16" t="n">
        <v>3</v>
      </c>
      <c r="D4" s="14" t="s">
        <v>1402</v>
      </c>
    </row>
    <row r="5" customFormat="false" ht="15" hidden="false" customHeight="false" outlineLevel="0" collapsed="false">
      <c r="A5" s="14" t="s">
        <v>1399</v>
      </c>
      <c r="B5" s="16" t="n">
        <v>133</v>
      </c>
      <c r="C5" s="16" t="n">
        <v>4</v>
      </c>
      <c r="D5" s="14" t="s">
        <v>1403</v>
      </c>
    </row>
    <row r="6" customFormat="false" ht="15" hidden="false" customHeight="false" outlineLevel="0" collapsed="false">
      <c r="A6" s="14" t="s">
        <v>1399</v>
      </c>
      <c r="B6" s="16" t="n">
        <v>126</v>
      </c>
      <c r="C6" s="16" t="n">
        <v>5</v>
      </c>
      <c r="D6" s="14" t="s">
        <v>1404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2026-10-02T08:07:15Z</dcterms:created>
  <dc:creator>openpyxl</dc:creator>
  <dc:description/>
  <dc:language>en-US</dc:language>
  <cp:lastModifiedBy/>
  <dcterms:modified xsi:type="dcterms:W3CDTF">2026-10-02T08:07:16Z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